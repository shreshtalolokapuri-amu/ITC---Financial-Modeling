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C:\Users\shreshta\Downloads\"/>
    </mc:Choice>
  </mc:AlternateContent>
  <xr:revisionPtr revIDLastSave="0" documentId="13_ncr:1_{49EBA033-89F3-447A-BB1A-A8E2A2FBE2EA}" xr6:coauthVersionLast="47" xr6:coauthVersionMax="47" xr10:uidLastSave="{00000000-0000-0000-0000-000000000000}"/>
  <bookViews>
    <workbookView xWindow="-108" yWindow="-108" windowWidth="23256" windowHeight="12456" firstSheet="2" activeTab="5" xr2:uid="{00000000-000D-0000-FFFF-FFFF00000000}"/>
  </bookViews>
  <sheets>
    <sheet name="Data Sheet" sheetId="6" r:id="rId1"/>
    <sheet name="Historical Financial Statement" sheetId="7" r:id="rId2"/>
    <sheet name="Common Size Statement" sheetId="8" r:id="rId3"/>
    <sheet name="Ratio Analysis" sheetId="9" r:id="rId4"/>
    <sheet name="Forecasting" sheetId="10" r:id="rId5"/>
    <sheet name="One Page Report" sheetId="11" r:id="rId6"/>
  </sheets>
  <definedNames>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6" i="11" l="1" a="1"/>
  <c r="C6" i="11" s="1"/>
  <c r="J34" i="11"/>
  <c r="K34" i="11"/>
  <c r="J35" i="11"/>
  <c r="K35" i="11"/>
  <c r="J36" i="11"/>
  <c r="K36" i="11"/>
  <c r="J37" i="11"/>
  <c r="K37" i="11"/>
  <c r="J38" i="11"/>
  <c r="K38" i="11"/>
  <c r="I38" i="11"/>
  <c r="I37" i="11"/>
  <c r="I36" i="11"/>
  <c r="I35" i="11"/>
  <c r="I34" i="11"/>
  <c r="J29" i="11"/>
  <c r="K29" i="11"/>
  <c r="J30" i="11"/>
  <c r="K30" i="11"/>
  <c r="J31" i="11"/>
  <c r="K31" i="11"/>
  <c r="J32" i="11"/>
  <c r="K32" i="11"/>
  <c r="I32" i="11"/>
  <c r="I31" i="11"/>
  <c r="I30" i="11"/>
  <c r="I29" i="11"/>
  <c r="J28" i="11"/>
  <c r="K28" i="11"/>
  <c r="I28" i="11"/>
  <c r="C8" i="11" a="1"/>
  <c r="C8" i="11" s="1"/>
  <c r="C7" i="11" a="1"/>
  <c r="C7" i="11" s="1"/>
  <c r="B2" i="11"/>
  <c r="D71" i="10"/>
  <c r="E71" i="10"/>
  <c r="D72" i="10"/>
  <c r="E72" i="10"/>
  <c r="D73" i="10"/>
  <c r="E73" i="10"/>
  <c r="D74" i="10"/>
  <c r="E74" i="10"/>
  <c r="E70" i="10"/>
  <c r="D70" i="10"/>
  <c r="E60" i="10" a="1"/>
  <c r="E60" i="10"/>
  <c r="D60" i="10" a="1"/>
  <c r="D60" i="10"/>
  <c r="B60" i="10" a="1"/>
  <c r="B60" i="10"/>
  <c r="B58" i="10"/>
  <c r="D53" i="10"/>
  <c r="E53" i="10"/>
  <c r="D54" i="10"/>
  <c r="E54" i="10"/>
  <c r="D55" i="10"/>
  <c r="E55" i="10"/>
  <c r="D56" i="10"/>
  <c r="E56" i="10"/>
  <c r="E52" i="10"/>
  <c r="D52" i="10"/>
  <c r="E42" i="10" a="1"/>
  <c r="E42" i="10"/>
  <c r="D42" i="10" a="1"/>
  <c r="D42" i="10"/>
  <c r="B42" i="10" a="1"/>
  <c r="B42" i="10"/>
  <c r="B40" i="10"/>
  <c r="D35" i="10"/>
  <c r="E35" i="10"/>
  <c r="D36" i="10"/>
  <c r="E36" i="10"/>
  <c r="D37" i="10"/>
  <c r="E37" i="10"/>
  <c r="D38" i="10"/>
  <c r="E38" i="10"/>
  <c r="E34" i="10"/>
  <c r="D34" i="10"/>
  <c r="E24" i="10" a="1"/>
  <c r="E24" i="10"/>
  <c r="D24" i="10" a="1"/>
  <c r="D24" i="10"/>
  <c r="B24" i="10" a="1"/>
  <c r="B24" i="10"/>
  <c r="B22" i="10"/>
  <c r="E17" i="10"/>
  <c r="E18" i="10"/>
  <c r="E19" i="10"/>
  <c r="E20" i="10"/>
  <c r="E16" i="10"/>
  <c r="D17" i="10"/>
  <c r="D18" i="10"/>
  <c r="D19" i="10"/>
  <c r="D20" i="10"/>
  <c r="D16" i="10"/>
  <c r="E6" i="10" a="1"/>
  <c r="E6" i="10"/>
  <c r="D6" i="10" a="1"/>
  <c r="D6" i="10"/>
  <c r="B6" i="10" a="1"/>
  <c r="B6" i="10"/>
  <c r="B4" i="10"/>
  <c r="B2" i="10"/>
  <c r="O6" i="9"/>
  <c r="P6" i="9"/>
  <c r="O7" i="9"/>
  <c r="P7" i="9"/>
  <c r="O8" i="9"/>
  <c r="P8" i="9"/>
  <c r="O9" i="9"/>
  <c r="P9" i="9"/>
  <c r="O11" i="9"/>
  <c r="P11" i="9"/>
  <c r="O12" i="9"/>
  <c r="P12" i="9"/>
  <c r="O13" i="9"/>
  <c r="P13" i="9"/>
  <c r="O14" i="9"/>
  <c r="P14" i="9"/>
  <c r="O15" i="9"/>
  <c r="P15" i="9"/>
  <c r="O17" i="9"/>
  <c r="P17" i="9"/>
  <c r="O18" i="9"/>
  <c r="P18" i="9"/>
  <c r="O20" i="9"/>
  <c r="P20" i="9"/>
  <c r="O22" i="9"/>
  <c r="P22" i="9"/>
  <c r="O24" i="9"/>
  <c r="P24" i="9"/>
  <c r="O26" i="9"/>
  <c r="P26" i="9"/>
  <c r="O27" i="9"/>
  <c r="P27" i="9"/>
  <c r="O28" i="9"/>
  <c r="P28" i="9"/>
  <c r="O29" i="9"/>
  <c r="P29" i="9"/>
  <c r="O30" i="9"/>
  <c r="P30" i="9"/>
  <c r="O32" i="9"/>
  <c r="P32" i="9"/>
  <c r="O33" i="9"/>
  <c r="P33" i="9"/>
  <c r="O34" i="9"/>
  <c r="P34" i="9"/>
  <c r="O35" i="9"/>
  <c r="P35" i="9"/>
  <c r="O37" i="9"/>
  <c r="P37" i="9"/>
  <c r="O38" i="9"/>
  <c r="P38" i="9"/>
  <c r="O39" i="9"/>
  <c r="P39" i="9"/>
  <c r="P5" i="9"/>
  <c r="O5" i="9"/>
  <c r="E37" i="9"/>
  <c r="F37" i="9"/>
  <c r="G37" i="9"/>
  <c r="H37" i="9"/>
  <c r="I37" i="9"/>
  <c r="J37" i="9"/>
  <c r="K37" i="9"/>
  <c r="L37" i="9"/>
  <c r="M37" i="9"/>
  <c r="E38" i="9"/>
  <c r="F38" i="9"/>
  <c r="G38" i="9"/>
  <c r="H38" i="9"/>
  <c r="I38" i="9"/>
  <c r="J38" i="9"/>
  <c r="K38" i="9"/>
  <c r="L38" i="9"/>
  <c r="M38" i="9"/>
  <c r="E39" i="9"/>
  <c r="F39" i="9"/>
  <c r="G39" i="9"/>
  <c r="H39" i="9"/>
  <c r="I39" i="9"/>
  <c r="J39" i="9"/>
  <c r="K39" i="9"/>
  <c r="L39" i="9"/>
  <c r="M39" i="9"/>
  <c r="D39" i="9"/>
  <c r="D38" i="9"/>
  <c r="D37" i="9"/>
  <c r="E32" i="9"/>
  <c r="F32" i="9"/>
  <c r="G32" i="9"/>
  <c r="H32" i="9"/>
  <c r="I32" i="9"/>
  <c r="J32" i="9"/>
  <c r="K32" i="9"/>
  <c r="L32" i="9"/>
  <c r="M32" i="9"/>
  <c r="E33" i="9"/>
  <c r="F33" i="9"/>
  <c r="G33" i="9"/>
  <c r="H33" i="9"/>
  <c r="I33" i="9"/>
  <c r="J33" i="9"/>
  <c r="K33" i="9"/>
  <c r="L33" i="9"/>
  <c r="M33" i="9"/>
  <c r="E34" i="9"/>
  <c r="F34" i="9"/>
  <c r="G34" i="9"/>
  <c r="H34" i="9"/>
  <c r="I34" i="9"/>
  <c r="J34" i="9"/>
  <c r="K34" i="9"/>
  <c r="L34" i="9"/>
  <c r="M34" i="9"/>
  <c r="E35" i="9"/>
  <c r="F35" i="9"/>
  <c r="G35" i="9"/>
  <c r="H35" i="9"/>
  <c r="I35" i="9"/>
  <c r="J35" i="9"/>
  <c r="K35" i="9"/>
  <c r="L35" i="9"/>
  <c r="M35" i="9"/>
  <c r="D35" i="9"/>
  <c r="D34" i="9"/>
  <c r="D33" i="9"/>
  <c r="D32" i="9"/>
  <c r="E26" i="9"/>
  <c r="F26" i="9"/>
  <c r="G26" i="9"/>
  <c r="H26" i="9"/>
  <c r="I26" i="9"/>
  <c r="J26" i="9"/>
  <c r="K26" i="9"/>
  <c r="L26" i="9"/>
  <c r="M26" i="9"/>
  <c r="E27" i="9"/>
  <c r="F27" i="9"/>
  <c r="G27" i="9"/>
  <c r="H27" i="9"/>
  <c r="I27" i="9"/>
  <c r="J27" i="9"/>
  <c r="K27" i="9"/>
  <c r="L27" i="9"/>
  <c r="M27" i="9"/>
  <c r="E28" i="9"/>
  <c r="F28" i="9"/>
  <c r="G28" i="9"/>
  <c r="H28" i="9"/>
  <c r="I28" i="9"/>
  <c r="J28" i="9"/>
  <c r="K28" i="9"/>
  <c r="L28" i="9"/>
  <c r="M28" i="9"/>
  <c r="E29" i="9"/>
  <c r="F29" i="9"/>
  <c r="G29" i="9"/>
  <c r="H29" i="9"/>
  <c r="I29" i="9"/>
  <c r="J29" i="9"/>
  <c r="K29" i="9"/>
  <c r="L29" i="9"/>
  <c r="M29" i="9"/>
  <c r="E30" i="9"/>
  <c r="F30" i="9"/>
  <c r="G30" i="9"/>
  <c r="H30" i="9"/>
  <c r="I30" i="9"/>
  <c r="J30" i="9"/>
  <c r="K30" i="9"/>
  <c r="L30" i="9"/>
  <c r="M30" i="9"/>
  <c r="D30" i="9"/>
  <c r="D29" i="9"/>
  <c r="D28" i="9"/>
  <c r="D27" i="9"/>
  <c r="D26" i="9"/>
  <c r="E20" i="9"/>
  <c r="F20" i="9"/>
  <c r="G20" i="9"/>
  <c r="H20" i="9"/>
  <c r="I20" i="9"/>
  <c r="J20" i="9"/>
  <c r="K20" i="9"/>
  <c r="L20" i="9"/>
  <c r="M20" i="9"/>
  <c r="E22" i="9"/>
  <c r="F22" i="9"/>
  <c r="G22" i="9"/>
  <c r="H22" i="9"/>
  <c r="I22" i="9"/>
  <c r="J22" i="9"/>
  <c r="K22" i="9"/>
  <c r="L22" i="9"/>
  <c r="M22" i="9"/>
  <c r="E24" i="9"/>
  <c r="F24" i="9"/>
  <c r="G24" i="9"/>
  <c r="H24" i="9"/>
  <c r="I24" i="9"/>
  <c r="J24" i="9"/>
  <c r="K24" i="9"/>
  <c r="L24" i="9"/>
  <c r="M24" i="9"/>
  <c r="D24" i="9"/>
  <c r="D22" i="9"/>
  <c r="D20" i="9"/>
  <c r="E17" i="9"/>
  <c r="F17" i="9"/>
  <c r="G17" i="9"/>
  <c r="H17" i="9"/>
  <c r="I17" i="9"/>
  <c r="J17" i="9"/>
  <c r="K17" i="9"/>
  <c r="L17" i="9"/>
  <c r="M17" i="9"/>
  <c r="E18" i="9"/>
  <c r="F18" i="9"/>
  <c r="G18" i="9"/>
  <c r="H18" i="9"/>
  <c r="I18" i="9"/>
  <c r="J18" i="9"/>
  <c r="K18" i="9"/>
  <c r="L18" i="9"/>
  <c r="M18" i="9"/>
  <c r="D18" i="9"/>
  <c r="D17" i="9"/>
  <c r="E14" i="9"/>
  <c r="F14" i="9"/>
  <c r="G14" i="9"/>
  <c r="H14" i="9"/>
  <c r="I14" i="9"/>
  <c r="J14" i="9"/>
  <c r="K14" i="9"/>
  <c r="L14" i="9"/>
  <c r="M14" i="9"/>
  <c r="E15" i="9"/>
  <c r="F15" i="9"/>
  <c r="G15" i="9"/>
  <c r="H15" i="9"/>
  <c r="I15" i="9"/>
  <c r="J15" i="9"/>
  <c r="K15" i="9"/>
  <c r="L15" i="9"/>
  <c r="M15" i="9"/>
  <c r="D15" i="9"/>
  <c r="D14" i="9"/>
  <c r="E12" i="9"/>
  <c r="F12" i="9"/>
  <c r="G12" i="9"/>
  <c r="H12" i="9"/>
  <c r="I12" i="9"/>
  <c r="J12" i="9"/>
  <c r="K12" i="9"/>
  <c r="L12" i="9"/>
  <c r="M12" i="9"/>
  <c r="E13" i="9"/>
  <c r="F13" i="9"/>
  <c r="G13" i="9"/>
  <c r="H13" i="9"/>
  <c r="I13" i="9"/>
  <c r="J13" i="9"/>
  <c r="K13" i="9"/>
  <c r="L13" i="9"/>
  <c r="M13" i="9"/>
  <c r="D13" i="9"/>
  <c r="D12" i="9"/>
  <c r="E11" i="9"/>
  <c r="F11" i="9"/>
  <c r="G11" i="9"/>
  <c r="H11" i="9"/>
  <c r="I11" i="9"/>
  <c r="J11" i="9"/>
  <c r="K11" i="9"/>
  <c r="L11" i="9"/>
  <c r="M11" i="9"/>
  <c r="D11" i="9"/>
  <c r="F9" i="9"/>
  <c r="G9" i="9"/>
  <c r="H9" i="9"/>
  <c r="I9" i="9"/>
  <c r="J9" i="9"/>
  <c r="K9" i="9"/>
  <c r="L9" i="9"/>
  <c r="M9" i="9"/>
  <c r="E9" i="9"/>
  <c r="F7" i="9"/>
  <c r="G7" i="9"/>
  <c r="H7" i="9"/>
  <c r="I7" i="9"/>
  <c r="J7" i="9"/>
  <c r="K7" i="9"/>
  <c r="L7" i="9"/>
  <c r="M7" i="9"/>
  <c r="F8" i="9"/>
  <c r="G8" i="9"/>
  <c r="H8" i="9"/>
  <c r="I8" i="9"/>
  <c r="J8" i="9"/>
  <c r="K8" i="9"/>
  <c r="L8" i="9"/>
  <c r="M8" i="9"/>
  <c r="E8" i="9"/>
  <c r="E7" i="9"/>
  <c r="F6" i="9"/>
  <c r="G6" i="9"/>
  <c r="H6" i="9"/>
  <c r="I6" i="9"/>
  <c r="J6" i="9"/>
  <c r="K6" i="9"/>
  <c r="L6" i="9"/>
  <c r="M6" i="9"/>
  <c r="E6" i="9"/>
  <c r="F5" i="9"/>
  <c r="G5" i="9"/>
  <c r="H5" i="9"/>
  <c r="I5" i="9"/>
  <c r="J5" i="9"/>
  <c r="K5" i="9"/>
  <c r="L5" i="9"/>
  <c r="M5" i="9"/>
  <c r="E5" i="9"/>
  <c r="D3" i="9"/>
  <c r="E3" i="9"/>
  <c r="F3" i="9"/>
  <c r="G3" i="9"/>
  <c r="H3" i="9"/>
  <c r="I3" i="9"/>
  <c r="J3" i="9"/>
  <c r="K3" i="9"/>
  <c r="L3" i="9"/>
  <c r="M3" i="9"/>
  <c r="B2" i="9"/>
  <c r="E36" i="8"/>
  <c r="F36" i="8"/>
  <c r="G36" i="8"/>
  <c r="H36" i="8"/>
  <c r="I36" i="8"/>
  <c r="J36" i="8"/>
  <c r="K36" i="8"/>
  <c r="L36" i="8"/>
  <c r="M36" i="8"/>
  <c r="E37" i="8"/>
  <c r="F37" i="8"/>
  <c r="G37" i="8"/>
  <c r="H37" i="8"/>
  <c r="I37" i="8"/>
  <c r="J37" i="8"/>
  <c r="K37" i="8"/>
  <c r="L37" i="8"/>
  <c r="M37" i="8"/>
  <c r="E38" i="8"/>
  <c r="F38" i="8"/>
  <c r="G38" i="8"/>
  <c r="H38" i="8"/>
  <c r="I38" i="8"/>
  <c r="J38" i="8"/>
  <c r="K38" i="8"/>
  <c r="L38" i="8"/>
  <c r="M38" i="8"/>
  <c r="D37" i="8"/>
  <c r="D38" i="8"/>
  <c r="D36" i="8"/>
  <c r="E35" i="8"/>
  <c r="F35" i="8"/>
  <c r="G35" i="8"/>
  <c r="H35" i="8"/>
  <c r="I35" i="8"/>
  <c r="J35" i="8"/>
  <c r="K35" i="8"/>
  <c r="L35" i="8"/>
  <c r="M35" i="8"/>
  <c r="D35" i="8"/>
  <c r="E32" i="8"/>
  <c r="F32" i="8"/>
  <c r="G32" i="8"/>
  <c r="H32" i="8"/>
  <c r="I32" i="8"/>
  <c r="J32" i="8"/>
  <c r="K32" i="8"/>
  <c r="L32" i="8"/>
  <c r="M32" i="8"/>
  <c r="E33" i="8"/>
  <c r="F33" i="8"/>
  <c r="G33" i="8"/>
  <c r="H33" i="8"/>
  <c r="I33" i="8"/>
  <c r="J33" i="8"/>
  <c r="K33" i="8"/>
  <c r="L33" i="8"/>
  <c r="M33" i="8"/>
  <c r="E34" i="8"/>
  <c r="F34" i="8"/>
  <c r="G34" i="8"/>
  <c r="H34" i="8"/>
  <c r="I34" i="8"/>
  <c r="J34" i="8"/>
  <c r="K34" i="8"/>
  <c r="L34" i="8"/>
  <c r="M34" i="8"/>
  <c r="D33" i="8"/>
  <c r="D34" i="8"/>
  <c r="D32" i="8"/>
  <c r="E31" i="8"/>
  <c r="F31" i="8"/>
  <c r="G31" i="8"/>
  <c r="H31" i="8"/>
  <c r="I31" i="8"/>
  <c r="J31" i="8"/>
  <c r="K31" i="8"/>
  <c r="L31" i="8"/>
  <c r="M31" i="8"/>
  <c r="D31" i="8"/>
  <c r="E26" i="8"/>
  <c r="F26" i="8"/>
  <c r="G26" i="8"/>
  <c r="H26" i="8"/>
  <c r="I26" i="8"/>
  <c r="J26" i="8"/>
  <c r="K26" i="8"/>
  <c r="L26" i="8"/>
  <c r="M26" i="8"/>
  <c r="E27" i="8"/>
  <c r="F27" i="8"/>
  <c r="G27" i="8"/>
  <c r="H27" i="8"/>
  <c r="I27" i="8"/>
  <c r="J27" i="8"/>
  <c r="K27" i="8"/>
  <c r="L27" i="8"/>
  <c r="M27" i="8"/>
  <c r="E28" i="8"/>
  <c r="F28" i="8"/>
  <c r="G28" i="8"/>
  <c r="H28" i="8"/>
  <c r="I28" i="8"/>
  <c r="J28" i="8"/>
  <c r="K28" i="8"/>
  <c r="L28" i="8"/>
  <c r="M28" i="8"/>
  <c r="E29" i="8"/>
  <c r="F29" i="8"/>
  <c r="G29" i="8"/>
  <c r="H29" i="8"/>
  <c r="I29" i="8"/>
  <c r="J29" i="8"/>
  <c r="K29" i="8"/>
  <c r="L29" i="8"/>
  <c r="M29" i="8"/>
  <c r="D27" i="8"/>
  <c r="D28" i="8"/>
  <c r="D29" i="8"/>
  <c r="D26" i="8"/>
  <c r="E25" i="8"/>
  <c r="F25" i="8"/>
  <c r="G25" i="8"/>
  <c r="H25" i="8"/>
  <c r="I25" i="8"/>
  <c r="J25" i="8"/>
  <c r="K25" i="8"/>
  <c r="L25" i="8"/>
  <c r="M25" i="8"/>
  <c r="D25" i="8"/>
  <c r="E8" i="8" l="1"/>
  <c r="F8" i="8"/>
  <c r="G8" i="8"/>
  <c r="H8" i="8"/>
  <c r="I8" i="8"/>
  <c r="J8" i="8"/>
  <c r="K8" i="8"/>
  <c r="L8" i="8"/>
  <c r="M8" i="8"/>
  <c r="E9" i="8"/>
  <c r="F9" i="8"/>
  <c r="G9" i="8"/>
  <c r="H9" i="8"/>
  <c r="I9" i="8"/>
  <c r="J9" i="8"/>
  <c r="K9" i="8"/>
  <c r="L9" i="8"/>
  <c r="M9" i="8"/>
  <c r="E10" i="8"/>
  <c r="F10" i="8"/>
  <c r="G10" i="8"/>
  <c r="H10" i="8"/>
  <c r="I10" i="8"/>
  <c r="J10" i="8"/>
  <c r="K10" i="8"/>
  <c r="L10" i="8"/>
  <c r="M10" i="8"/>
  <c r="E11" i="8"/>
  <c r="F11" i="8"/>
  <c r="G11" i="8"/>
  <c r="H11" i="8"/>
  <c r="I11" i="8"/>
  <c r="J11" i="8"/>
  <c r="K11" i="8"/>
  <c r="L11" i="8"/>
  <c r="M11" i="8"/>
  <c r="E12" i="8"/>
  <c r="F12" i="8"/>
  <c r="G12" i="8"/>
  <c r="H12" i="8"/>
  <c r="I12" i="8"/>
  <c r="J12" i="8"/>
  <c r="K12" i="8"/>
  <c r="L12" i="8"/>
  <c r="M12" i="8"/>
  <c r="E13" i="8"/>
  <c r="F13" i="8"/>
  <c r="G13" i="8"/>
  <c r="H13" i="8"/>
  <c r="I13" i="8"/>
  <c r="J13" i="8"/>
  <c r="K13" i="8"/>
  <c r="L13" i="8"/>
  <c r="M13" i="8"/>
  <c r="E14" i="8"/>
  <c r="F14" i="8"/>
  <c r="G14" i="8"/>
  <c r="H14" i="8"/>
  <c r="I14" i="8"/>
  <c r="J14" i="8"/>
  <c r="K14" i="8"/>
  <c r="L14" i="8"/>
  <c r="M14" i="8"/>
  <c r="E15" i="8"/>
  <c r="F15" i="8"/>
  <c r="G15" i="8"/>
  <c r="H15" i="8"/>
  <c r="I15" i="8"/>
  <c r="J15" i="8"/>
  <c r="K15" i="8"/>
  <c r="L15" i="8"/>
  <c r="M15" i="8"/>
  <c r="E16" i="8"/>
  <c r="F16" i="8"/>
  <c r="G16" i="8"/>
  <c r="H16" i="8"/>
  <c r="I16" i="8"/>
  <c r="J16" i="8"/>
  <c r="K16" i="8"/>
  <c r="L16" i="8"/>
  <c r="M16" i="8"/>
  <c r="E17" i="8"/>
  <c r="F17" i="8"/>
  <c r="G17" i="8"/>
  <c r="H17" i="8"/>
  <c r="I17" i="8"/>
  <c r="J17" i="8"/>
  <c r="K17" i="8"/>
  <c r="L17" i="8"/>
  <c r="M17" i="8"/>
  <c r="E18" i="8"/>
  <c r="F18" i="8"/>
  <c r="G18" i="8"/>
  <c r="H18" i="8"/>
  <c r="I18" i="8"/>
  <c r="J18" i="8"/>
  <c r="K18" i="8"/>
  <c r="L18" i="8"/>
  <c r="M18" i="8"/>
  <c r="E19" i="8"/>
  <c r="F19" i="8"/>
  <c r="G19" i="8"/>
  <c r="H19" i="8"/>
  <c r="I19" i="8"/>
  <c r="J19" i="8"/>
  <c r="K19" i="8"/>
  <c r="L19" i="8"/>
  <c r="M19" i="8"/>
  <c r="E20" i="8"/>
  <c r="F20" i="8"/>
  <c r="G20" i="8"/>
  <c r="H20" i="8"/>
  <c r="I20" i="8"/>
  <c r="J20" i="8"/>
  <c r="K20" i="8"/>
  <c r="L20" i="8"/>
  <c r="M20" i="8"/>
  <c r="D9" i="8"/>
  <c r="D10" i="8"/>
  <c r="D11" i="8"/>
  <c r="D12" i="8"/>
  <c r="D13" i="8"/>
  <c r="D14" i="8"/>
  <c r="D15" i="8"/>
  <c r="D16" i="8"/>
  <c r="D17" i="8"/>
  <c r="D18" i="8"/>
  <c r="D19" i="8"/>
  <c r="D20" i="8"/>
  <c r="D8" i="8"/>
  <c r="E7" i="8"/>
  <c r="F7" i="8"/>
  <c r="G7" i="8"/>
  <c r="H7" i="8"/>
  <c r="I7" i="8"/>
  <c r="J7" i="8"/>
  <c r="K7" i="8"/>
  <c r="L7" i="8"/>
  <c r="M7" i="8"/>
  <c r="D7" i="8"/>
  <c r="E3" i="8"/>
  <c r="F3" i="8"/>
  <c r="G3" i="8"/>
  <c r="H3" i="8"/>
  <c r="I3" i="8"/>
  <c r="J3" i="8"/>
  <c r="K3" i="8"/>
  <c r="L3" i="8"/>
  <c r="M3" i="8"/>
  <c r="D3" i="8"/>
  <c r="B2" i="8"/>
  <c r="E72" i="7"/>
  <c r="F72" i="7"/>
  <c r="G72" i="7"/>
  <c r="H72" i="7"/>
  <c r="I72" i="7"/>
  <c r="J72" i="7"/>
  <c r="K72" i="7"/>
  <c r="L72" i="7"/>
  <c r="M72" i="7"/>
  <c r="D72" i="7"/>
  <c r="E69" i="7"/>
  <c r="F69" i="7"/>
  <c r="G69" i="7"/>
  <c r="H69" i="7"/>
  <c r="I69" i="7"/>
  <c r="J69" i="7"/>
  <c r="K69" i="7"/>
  <c r="L69" i="7"/>
  <c r="M69" i="7"/>
  <c r="E70" i="7"/>
  <c r="F70" i="7"/>
  <c r="G70" i="7"/>
  <c r="H70" i="7"/>
  <c r="I70" i="7"/>
  <c r="J70" i="7"/>
  <c r="K70" i="7"/>
  <c r="L70" i="7"/>
  <c r="M70" i="7"/>
  <c r="E71" i="7"/>
  <c r="F71" i="7"/>
  <c r="G71" i="7"/>
  <c r="H71" i="7"/>
  <c r="I71" i="7"/>
  <c r="J71" i="7"/>
  <c r="K71" i="7"/>
  <c r="L71" i="7"/>
  <c r="M71" i="7"/>
  <c r="D70" i="7"/>
  <c r="D71" i="7"/>
  <c r="D69" i="7"/>
  <c r="B68" i="7"/>
  <c r="E66" i="7" l="1"/>
  <c r="F66" i="7"/>
  <c r="G66" i="7"/>
  <c r="H66" i="7"/>
  <c r="I66" i="7"/>
  <c r="J66" i="7"/>
  <c r="K66" i="7"/>
  <c r="L66" i="7"/>
  <c r="M66" i="7"/>
  <c r="E64" i="7"/>
  <c r="F64" i="7"/>
  <c r="G64" i="7"/>
  <c r="H64" i="7"/>
  <c r="I64" i="7"/>
  <c r="J64" i="7"/>
  <c r="K64" i="7"/>
  <c r="L64" i="7"/>
  <c r="M64" i="7"/>
  <c r="D66" i="7"/>
  <c r="D64" i="7"/>
  <c r="E59" i="7"/>
  <c r="F59" i="7"/>
  <c r="G59" i="7"/>
  <c r="H59" i="7"/>
  <c r="I59" i="7"/>
  <c r="J59" i="7"/>
  <c r="K59" i="7"/>
  <c r="L59" i="7"/>
  <c r="M59" i="7"/>
  <c r="E60" i="7"/>
  <c r="F60" i="7"/>
  <c r="G60" i="7"/>
  <c r="H60" i="7"/>
  <c r="I60" i="7"/>
  <c r="J60" i="7"/>
  <c r="K60" i="7"/>
  <c r="L60" i="7"/>
  <c r="M60" i="7"/>
  <c r="E61" i="7"/>
  <c r="F61" i="7"/>
  <c r="G61" i="7"/>
  <c r="H61" i="7"/>
  <c r="I61" i="7"/>
  <c r="J61" i="7"/>
  <c r="K61" i="7"/>
  <c r="L61" i="7"/>
  <c r="M61" i="7"/>
  <c r="E62" i="7"/>
  <c r="F62" i="7"/>
  <c r="G62" i="7"/>
  <c r="H62" i="7"/>
  <c r="I62" i="7"/>
  <c r="J62" i="7"/>
  <c r="K62" i="7"/>
  <c r="L62" i="7"/>
  <c r="M62" i="7"/>
  <c r="D62" i="7"/>
  <c r="D60" i="7"/>
  <c r="D61" i="7"/>
  <c r="D59" i="7"/>
  <c r="E53" i="7"/>
  <c r="F53" i="7"/>
  <c r="G53" i="7"/>
  <c r="H53" i="7"/>
  <c r="I53" i="7"/>
  <c r="J53" i="7"/>
  <c r="K53" i="7"/>
  <c r="L53" i="7"/>
  <c r="M53" i="7"/>
  <c r="E54" i="7"/>
  <c r="F54" i="7"/>
  <c r="G54" i="7"/>
  <c r="H54" i="7"/>
  <c r="I54" i="7"/>
  <c r="J54" i="7"/>
  <c r="K54" i="7"/>
  <c r="L54" i="7"/>
  <c r="M54" i="7"/>
  <c r="E55" i="7"/>
  <c r="F55" i="7"/>
  <c r="G55" i="7"/>
  <c r="H55" i="7"/>
  <c r="I55" i="7"/>
  <c r="J55" i="7"/>
  <c r="K55" i="7"/>
  <c r="L55" i="7"/>
  <c r="M55" i="7"/>
  <c r="E56" i="7"/>
  <c r="F56" i="7"/>
  <c r="G56" i="7"/>
  <c r="H56" i="7"/>
  <c r="I56" i="7"/>
  <c r="J56" i="7"/>
  <c r="K56" i="7"/>
  <c r="L56" i="7"/>
  <c r="M56" i="7"/>
  <c r="E57" i="7"/>
  <c r="F57" i="7"/>
  <c r="G57" i="7"/>
  <c r="H57" i="7"/>
  <c r="I57" i="7"/>
  <c r="J57" i="7"/>
  <c r="K57" i="7"/>
  <c r="L57" i="7"/>
  <c r="M57" i="7"/>
  <c r="D57" i="7"/>
  <c r="D56" i="7"/>
  <c r="D54" i="7"/>
  <c r="D55" i="7"/>
  <c r="D53" i="7"/>
  <c r="E51" i="7"/>
  <c r="F51" i="7"/>
  <c r="G51" i="7"/>
  <c r="H51" i="7"/>
  <c r="I51" i="7"/>
  <c r="J51" i="7"/>
  <c r="K51" i="7"/>
  <c r="L51" i="7"/>
  <c r="M51" i="7"/>
  <c r="D51" i="7"/>
  <c r="E47" i="7"/>
  <c r="F47" i="7"/>
  <c r="G47" i="7"/>
  <c r="H47" i="7"/>
  <c r="I47" i="7"/>
  <c r="J47" i="7"/>
  <c r="K47" i="7"/>
  <c r="L47" i="7"/>
  <c r="M47" i="7"/>
  <c r="E48" i="7"/>
  <c r="F48" i="7"/>
  <c r="G48" i="7"/>
  <c r="H48" i="7"/>
  <c r="I48" i="7"/>
  <c r="J48" i="7"/>
  <c r="K48" i="7"/>
  <c r="L48" i="7"/>
  <c r="M48" i="7"/>
  <c r="E49" i="7"/>
  <c r="F49" i="7"/>
  <c r="G49" i="7"/>
  <c r="H49" i="7"/>
  <c r="I49" i="7"/>
  <c r="J49" i="7"/>
  <c r="K49" i="7"/>
  <c r="L49" i="7"/>
  <c r="M49" i="7"/>
  <c r="E50" i="7"/>
  <c r="F50" i="7"/>
  <c r="G50" i="7"/>
  <c r="H50" i="7"/>
  <c r="I50" i="7"/>
  <c r="J50" i="7"/>
  <c r="K50" i="7"/>
  <c r="L50" i="7"/>
  <c r="M50" i="7"/>
  <c r="D48" i="7"/>
  <c r="D49" i="7"/>
  <c r="D50" i="7"/>
  <c r="D47" i="7"/>
  <c r="E44" i="7"/>
  <c r="E21" i="9" s="1"/>
  <c r="E23" i="9" s="1"/>
  <c r="F44" i="7"/>
  <c r="F21" i="9" s="1"/>
  <c r="F23" i="9" s="1"/>
  <c r="G44" i="7"/>
  <c r="G21" i="9" s="1"/>
  <c r="G23" i="9" s="1"/>
  <c r="H44" i="7"/>
  <c r="H21" i="9" s="1"/>
  <c r="H23" i="9" s="1"/>
  <c r="I44" i="7"/>
  <c r="I21" i="9" s="1"/>
  <c r="I23" i="9" s="1"/>
  <c r="J44" i="7"/>
  <c r="J21" i="9" s="1"/>
  <c r="J23" i="9" s="1"/>
  <c r="K44" i="7"/>
  <c r="K21" i="9" s="1"/>
  <c r="K23" i="9" s="1"/>
  <c r="L44" i="7"/>
  <c r="L21" i="9" s="1"/>
  <c r="L23" i="9" s="1"/>
  <c r="M44" i="7"/>
  <c r="M21" i="9" s="1"/>
  <c r="M23" i="9" s="1"/>
  <c r="D44" i="7"/>
  <c r="D21" i="9" s="1"/>
  <c r="E41" i="7"/>
  <c r="F41" i="7"/>
  <c r="G41" i="7"/>
  <c r="H41" i="7"/>
  <c r="I41" i="7"/>
  <c r="J41" i="7"/>
  <c r="K41" i="7"/>
  <c r="L41" i="7"/>
  <c r="M41" i="7"/>
  <c r="E42" i="7"/>
  <c r="F42" i="7"/>
  <c r="G42" i="7"/>
  <c r="H42" i="7"/>
  <c r="I42" i="7"/>
  <c r="J42" i="7"/>
  <c r="K42" i="7"/>
  <c r="L42" i="7"/>
  <c r="M42" i="7"/>
  <c r="D42" i="7"/>
  <c r="D41" i="7"/>
  <c r="F39" i="7"/>
  <c r="G39" i="7"/>
  <c r="H39" i="7"/>
  <c r="I39" i="7"/>
  <c r="J39" i="7"/>
  <c r="K39" i="7"/>
  <c r="L39" i="7"/>
  <c r="M39" i="7"/>
  <c r="E39" i="7"/>
  <c r="E38" i="7"/>
  <c r="F38" i="7"/>
  <c r="G38" i="7"/>
  <c r="H38" i="7"/>
  <c r="I38" i="7"/>
  <c r="J38" i="7"/>
  <c r="K38" i="7"/>
  <c r="L38" i="7"/>
  <c r="M38" i="7"/>
  <c r="D38" i="7"/>
  <c r="E36" i="7"/>
  <c r="F36" i="7"/>
  <c r="G36" i="7"/>
  <c r="H36" i="7"/>
  <c r="I36" i="7"/>
  <c r="J36" i="7"/>
  <c r="K36" i="7"/>
  <c r="L36" i="7"/>
  <c r="M36" i="7"/>
  <c r="D36" i="7"/>
  <c r="E33" i="7"/>
  <c r="F33" i="7"/>
  <c r="G33" i="7"/>
  <c r="H33" i="7"/>
  <c r="I33" i="7"/>
  <c r="J33" i="7"/>
  <c r="K33" i="7"/>
  <c r="L33" i="7"/>
  <c r="M33" i="7"/>
  <c r="E34" i="7"/>
  <c r="F34" i="7"/>
  <c r="G34" i="7"/>
  <c r="H34" i="7"/>
  <c r="I34" i="7"/>
  <c r="J34" i="7"/>
  <c r="K34" i="7"/>
  <c r="L34" i="7"/>
  <c r="M34" i="7"/>
  <c r="D34" i="7"/>
  <c r="D33" i="7"/>
  <c r="E31" i="7"/>
  <c r="F31" i="7"/>
  <c r="G31" i="7"/>
  <c r="H31" i="7"/>
  <c r="I31" i="7"/>
  <c r="J31" i="7"/>
  <c r="K31" i="7"/>
  <c r="L31" i="7"/>
  <c r="M31" i="7"/>
  <c r="E30" i="7"/>
  <c r="F30" i="7"/>
  <c r="G30" i="7"/>
  <c r="H30" i="7"/>
  <c r="I30" i="7"/>
  <c r="J30" i="7"/>
  <c r="K30" i="7"/>
  <c r="L30" i="7"/>
  <c r="M30" i="7"/>
  <c r="D31" i="7"/>
  <c r="D30" i="7"/>
  <c r="E28" i="7"/>
  <c r="F28" i="7"/>
  <c r="G28" i="7"/>
  <c r="H28" i="7"/>
  <c r="I28" i="7"/>
  <c r="J28" i="7"/>
  <c r="K28" i="7"/>
  <c r="L28" i="7"/>
  <c r="M28" i="7"/>
  <c r="E27" i="7"/>
  <c r="F27" i="7"/>
  <c r="G27" i="7"/>
  <c r="H27" i="7"/>
  <c r="I27" i="7"/>
  <c r="J27" i="7"/>
  <c r="K27" i="7"/>
  <c r="L27" i="7"/>
  <c r="M27" i="7"/>
  <c r="D28" i="7"/>
  <c r="D27" i="7"/>
  <c r="E25" i="7"/>
  <c r="F25" i="7"/>
  <c r="G25" i="7"/>
  <c r="H25" i="7"/>
  <c r="I25" i="7"/>
  <c r="J25" i="7"/>
  <c r="K25" i="7"/>
  <c r="L25" i="7"/>
  <c r="M25" i="7"/>
  <c r="E24" i="7"/>
  <c r="F24" i="7"/>
  <c r="G24" i="7"/>
  <c r="H24" i="7"/>
  <c r="I24" i="7"/>
  <c r="J24" i="7"/>
  <c r="K24" i="7"/>
  <c r="L24" i="7"/>
  <c r="M24" i="7"/>
  <c r="E22" i="7"/>
  <c r="F22" i="7"/>
  <c r="G22" i="7"/>
  <c r="H22" i="7"/>
  <c r="I22" i="7"/>
  <c r="J22" i="7"/>
  <c r="K22" i="7"/>
  <c r="L22" i="7"/>
  <c r="M22" i="7"/>
  <c r="E21" i="7"/>
  <c r="F21" i="7"/>
  <c r="G21" i="7"/>
  <c r="H21" i="7"/>
  <c r="I21" i="7"/>
  <c r="J21" i="7"/>
  <c r="K21" i="7"/>
  <c r="L21" i="7"/>
  <c r="M21" i="7"/>
  <c r="D25" i="7"/>
  <c r="D24" i="7"/>
  <c r="D22" i="7"/>
  <c r="D21" i="7"/>
  <c r="E19" i="7"/>
  <c r="F19" i="7"/>
  <c r="G19" i="7"/>
  <c r="H19" i="7"/>
  <c r="I19" i="7"/>
  <c r="J19" i="7"/>
  <c r="K19" i="7"/>
  <c r="L19" i="7"/>
  <c r="M19" i="7"/>
  <c r="E18" i="7"/>
  <c r="F18" i="7"/>
  <c r="G18" i="7"/>
  <c r="H18" i="7"/>
  <c r="I18" i="7"/>
  <c r="J18" i="7"/>
  <c r="K18" i="7"/>
  <c r="L18" i="7"/>
  <c r="M18" i="7"/>
  <c r="D19" i="7"/>
  <c r="D18" i="7"/>
  <c r="E16" i="7"/>
  <c r="F16" i="7"/>
  <c r="G16" i="7"/>
  <c r="H16" i="7"/>
  <c r="I16" i="7"/>
  <c r="J16" i="7"/>
  <c r="K16" i="7"/>
  <c r="L16" i="7"/>
  <c r="M16" i="7"/>
  <c r="E15" i="7"/>
  <c r="F15" i="7"/>
  <c r="G15" i="7"/>
  <c r="H15" i="7"/>
  <c r="I15" i="7"/>
  <c r="J15" i="7"/>
  <c r="K15" i="7"/>
  <c r="L15" i="7"/>
  <c r="M15" i="7"/>
  <c r="D16" i="7"/>
  <c r="D15" i="7"/>
  <c r="E13" i="7"/>
  <c r="F13" i="7"/>
  <c r="G13" i="7"/>
  <c r="H13" i="7"/>
  <c r="I13" i="7"/>
  <c r="J13" i="7"/>
  <c r="K13" i="7"/>
  <c r="L13" i="7"/>
  <c r="M13" i="7"/>
  <c r="E12" i="7"/>
  <c r="F12" i="7"/>
  <c r="G12" i="7"/>
  <c r="H12" i="7"/>
  <c r="I12" i="7"/>
  <c r="J12" i="7"/>
  <c r="K12" i="7"/>
  <c r="L12" i="7"/>
  <c r="M12" i="7"/>
  <c r="D13" i="7"/>
  <c r="D12" i="7"/>
  <c r="E10" i="7"/>
  <c r="F10" i="7"/>
  <c r="G10" i="7"/>
  <c r="H10" i="7"/>
  <c r="I10" i="7"/>
  <c r="J10" i="7"/>
  <c r="K10" i="7"/>
  <c r="L10" i="7"/>
  <c r="M10" i="7"/>
  <c r="D10" i="7"/>
  <c r="E9" i="7"/>
  <c r="F9" i="7"/>
  <c r="G9" i="7"/>
  <c r="H9" i="7"/>
  <c r="I9" i="7"/>
  <c r="J9" i="7"/>
  <c r="K9" i="7"/>
  <c r="L9" i="7"/>
  <c r="M9" i="7"/>
  <c r="D9" i="7"/>
  <c r="F7" i="7"/>
  <c r="G7" i="7"/>
  <c r="H7" i="7"/>
  <c r="I7" i="7"/>
  <c r="J7" i="7"/>
  <c r="K7" i="7"/>
  <c r="L7" i="7"/>
  <c r="M7" i="7"/>
  <c r="E7" i="7"/>
  <c r="E6" i="7"/>
  <c r="F6" i="7"/>
  <c r="G6" i="7"/>
  <c r="H6" i="7"/>
  <c r="I6" i="7"/>
  <c r="J6" i="7"/>
  <c r="K6" i="7"/>
  <c r="L6" i="7"/>
  <c r="M6" i="7"/>
  <c r="D6" i="7"/>
  <c r="B46" i="7"/>
  <c r="O21" i="9" l="1"/>
  <c r="P21" i="9"/>
  <c r="D23" i="9"/>
  <c r="B5" i="7"/>
  <c r="E3" i="7"/>
  <c r="F3" i="7"/>
  <c r="G3" i="7"/>
  <c r="H3" i="7"/>
  <c r="I3" i="7"/>
  <c r="J3" i="7"/>
  <c r="K3" i="7"/>
  <c r="L3" i="7"/>
  <c r="M3" i="7"/>
  <c r="D3" i="7"/>
  <c r="B2" i="7"/>
  <c r="B6" i="6"/>
  <c r="E1" i="6"/>
  <c r="O23" i="9" l="1"/>
  <c r="P23" i="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<sst xmlns="http://schemas.openxmlformats.org/spreadsheetml/2006/main" count="217" uniqueCount="132">
  <si>
    <t>COMPANY NAME</t>
  </si>
  <si>
    <t>Sales</t>
  </si>
  <si>
    <t>Expenses</t>
  </si>
  <si>
    <t>Operating Profit</t>
  </si>
  <si>
    <t>Other Income</t>
  </si>
  <si>
    <t>Depreciation</t>
  </si>
  <si>
    <t>Interest</t>
  </si>
  <si>
    <t>Profit before tax</t>
  </si>
  <si>
    <t>Tax</t>
  </si>
  <si>
    <t>Net profit</t>
  </si>
  <si>
    <t>Equity Share Capital</t>
  </si>
  <si>
    <t>Reserves</t>
  </si>
  <si>
    <t>Total</t>
  </si>
  <si>
    <t>Net Block</t>
  </si>
  <si>
    <t>Capital Work in Progress</t>
  </si>
  <si>
    <t>Investments</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</si>
  <si>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</si>
  <si>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</si>
  <si>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</si>
  <si>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</si>
  <si>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</si>
  <si>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</si>
  <si>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</si>
  <si>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</si>
  <si>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</si>
  <si>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</si>
  <si>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</si>
  <si>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</si>
  <si>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</si>
  <si>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Inventory</t>
  </si>
  <si>
    <t>LATEST VERSION</t>
  </si>
  <si>
    <t>CURRENT VERSION</t>
  </si>
  <si>
    <t>ITC LTD</t>
  </si>
  <si>
    <t>META</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</si>
  <si>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</si>
  <si>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</si>
  <si>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</si>
  <si>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</si>
  <si>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</si>
  <si>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</si>
  <si>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</si>
  <si>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</si>
  <si>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</si>
  <si>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</si>
  <si>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</si>
  <si>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</si>
  <si>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</si>
  <si>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</si>
  <si>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</si>
  <si>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</si>
  <si>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</si>
  <si>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</si>
  <si>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</si>
  <si>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</si>
  <si>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Year</t>
  </si>
  <si>
    <t>Sales Growth</t>
  </si>
  <si>
    <t>COGS</t>
  </si>
  <si>
    <t>COGS % Sales</t>
  </si>
  <si>
    <t>Gross Profit</t>
  </si>
  <si>
    <t>Gross Margins</t>
  </si>
  <si>
    <t>Selling and General Expenses</t>
  </si>
  <si>
    <t>S&amp;G Exp % Sales</t>
  </si>
  <si>
    <t>EBITDA</t>
  </si>
  <si>
    <t>EBITDA Margins</t>
  </si>
  <si>
    <t>Interest % Sales</t>
  </si>
  <si>
    <t>Depreciation % Sales</t>
  </si>
  <si>
    <t>EBT</t>
  </si>
  <si>
    <t>EBT % Sales</t>
  </si>
  <si>
    <t>Effective Tax Rate</t>
  </si>
  <si>
    <t>Net Profit</t>
  </si>
  <si>
    <t>Net Margins</t>
  </si>
  <si>
    <t>Earnings per Share</t>
  </si>
  <si>
    <t>EPS Growth</t>
  </si>
  <si>
    <t>Dividend per Share</t>
  </si>
  <si>
    <t>Dividend Payout Ratio</t>
  </si>
  <si>
    <t>Retained Earnings</t>
  </si>
  <si>
    <t>Total Liabilities</t>
  </si>
  <si>
    <t>Total Non Current Assets</t>
  </si>
  <si>
    <t>Total Current Assets</t>
  </si>
  <si>
    <t>Total Assets</t>
  </si>
  <si>
    <t>Check</t>
  </si>
  <si>
    <t>NA</t>
  </si>
  <si>
    <t>Years</t>
  </si>
  <si>
    <t>Income Statement</t>
  </si>
  <si>
    <t>Balance Sheet</t>
  </si>
  <si>
    <t>Particulars</t>
  </si>
  <si>
    <t>Trend</t>
  </si>
  <si>
    <t>Mean</t>
  </si>
  <si>
    <t>Median</t>
  </si>
  <si>
    <t>EBITDA Growth</t>
  </si>
  <si>
    <t>EBT Growth</t>
  </si>
  <si>
    <t>Dividend Growth</t>
  </si>
  <si>
    <t>Net Profit Growth</t>
  </si>
  <si>
    <t>Gross Profit Margin</t>
  </si>
  <si>
    <t>EBITDA Margin</t>
  </si>
  <si>
    <t>EBIT Margin</t>
  </si>
  <si>
    <t>EBT Margin</t>
  </si>
  <si>
    <t>Net Profit Margin</t>
  </si>
  <si>
    <t>SalesExpenses%Sales</t>
  </si>
  <si>
    <t>Depreciation%Sales</t>
  </si>
  <si>
    <t>Return on Capital Employed</t>
  </si>
  <si>
    <t>Retained Earnings%</t>
  </si>
  <si>
    <t>Return on Equity%</t>
  </si>
  <si>
    <t>Self Sustained Growth Rate</t>
  </si>
  <si>
    <t>Interest Coverage Ratio</t>
  </si>
  <si>
    <t>Debitor Turnover Ratio</t>
  </si>
  <si>
    <t>Creditor Turnover Ratio</t>
  </si>
  <si>
    <t>Inventory Turnover Ratio</t>
  </si>
  <si>
    <t>Fixed Asset Turnover Ratio</t>
  </si>
  <si>
    <t>Capital Turnover Ratio</t>
  </si>
  <si>
    <t>Debtor Days</t>
  </si>
  <si>
    <t>Creditor Days</t>
  </si>
  <si>
    <t>Inventory Days</t>
  </si>
  <si>
    <t>Cash Conversion Cycle (in days)</t>
  </si>
  <si>
    <t>CFO/Sales</t>
  </si>
  <si>
    <t>CFO/Total Assets</t>
  </si>
  <si>
    <t>CFO/Total Debt</t>
  </si>
  <si>
    <t>Year Weight</t>
  </si>
  <si>
    <t>EPS</t>
  </si>
  <si>
    <t>One Page Report</t>
  </si>
  <si>
    <t>52 Week High</t>
  </si>
  <si>
    <t>52 Week Low</t>
  </si>
  <si>
    <t>Price</t>
  </si>
  <si>
    <t>Website</t>
  </si>
  <si>
    <t>itcportal.com</t>
  </si>
  <si>
    <t>About The Company</t>
  </si>
  <si>
    <t xml:space="preserve">ITC Limited is a major Indian conglomerate headquartered in Kolkata, West Bengal, with a rich history spanning over a century. Established in 1910 as the Imperial Tobacco Company of India Limited, the company has undergone several name changes and a massive diversification to become the multi-business entity known today simply as "ITC Limited," where the letters no longer stand for an acronym. ITC operates across six key business segments: Fast Moving Consumer Goods (FMCG), Hotels, Paperboards &amp; Packaging, Agri-Business, and Information Technology. 
The company is one of India's foremost private sector enterprises and is recognized as one of the country's most valuable corporations, reporting robust revenues and profits. The FMCG portfolio includes a wide array of popular brands such as Aashirvaad (staples), Sunfeast (biscuits and noodles), Bingo! (snacks), Vivel and Fiama (personal care), and Classmate (education and stationery products). Beyond consumer goods, ITC is a market leader in the paperboard and packaging industry and runs a prominent chain of luxury hotels across India. </t>
  </si>
  <si>
    <t>Key Financial Ratios</t>
  </si>
  <si>
    <t>Earnings Per Share</t>
  </si>
  <si>
    <t>Return on Equity</t>
  </si>
  <si>
    <t>Financial Forecasting</t>
  </si>
  <si>
    <t>Earnings Before 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</si>
</sst>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409]mmm\-yy;@"/>
    <numFmt numFmtId="166" formatCode="0.0"/>
    <numFmt numFmtId="167" formatCode="0.00\X"/>
    <numFmt numFmtId="168" formatCode="General&quot;A&quot;"/>
    <numFmt numFmtId="169" formatCode="General&quot;E&quot;"/>
    <numFmt numFmtId="170" formatCode="_ [$₹-44D]\ * #,##0.00_ ;_ [$₹-44D]\ * \-#,##0.00_ ;_ [$₹-44D]\ * &quot;-&quot;??_ ;_ @_ "/>
  </numFmts>
  <fonts count="11"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sz val="11"/>
      <name val="Calibri"/>
      <family val="2"/>
      <scheme val="minor"/>
    </font>
    <font>
      <i/>
      <sz val="11"/>
      <color rgb="FF002060"/>
      <name val="Calibri"/>
      <family val="2"/>
      <scheme val="minor"/>
    </font>
    <font>
      <b/>
      <sz val="11"/>
      <color rgb="FF002060"/>
      <name val="Calibri"/>
      <family val="2"/>
      <scheme val="minor"/>
    </font>
    <font>
      <b/>
      <sz val="26"/>
      <color rgb="FF002060"/>
      <name val="Calibri"/>
      <family val="2"/>
      <scheme val="minor"/>
    </font>
    <font>
      <i/>
      <sz val="11"/>
      <color theme="1" tint="0.34998626667073579"/>
      <name val="Calibri"/>
      <family val="2"/>
      <scheme val="minor"/>
    </font>
  </fonts>
  <fills count="5">
    <fill>
      <patternFill patternType="none"/>
    </fill>
    <fill>
      <patternFill patternType="gray125"/>
    </fill>
    <fill>
      <patternFill patternType="solid">
        <fgColor theme="9"/>
      </patternFill>
    </fill>
    <fill>
      <patternFill patternType="solid">
        <fgColor rgb="FF0275D8"/>
        <bgColor indexed="64"/>
      </patternFill>
    </fill>
    <fill>
      <patternFill patternType="solid">
        <fgColor rgb="FF002060"/>
        <bgColor indexed="64"/>
      </patternFill>
    </fill>
  </fills>
  <borders count="4">
    <border>
      <left/>
      <right/>
      <top/>
      <bottom/>
      <diagonal/>
    </border>
    <border>
      <left/>
      <right/>
      <top style="hair">
        <color auto="1"/>
      </top>
      <bottom style="hair">
        <color auto="1"/>
      </bottom>
      <diagonal/>
    </border>
    <border>
      <left/>
      <right/>
      <top style="hair">
        <color indexed="64"/>
      </top>
      <bottom/>
      <diagonal/>
    </border>
    <border>
      <left/>
      <right/>
      <top/>
      <bottom style="hair">
        <color auto="1"/>
      </bottom>
      <diagonal/>
    </border>
  </borders>
  <cellStyleXfs count="5">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9" fontId="3" fillId="0" borderId="0" applyFont="0" applyFill="0" applyBorder="0" applyAlignment="0" applyProtection="0"/>
  </cellStyleXfs>
  <cellXfs count="51">
    <xf numFmtId="0" fontId="0" fillId="0" borderId="0" xfId="0"/>
    <xf numFmtId="43" fontId="1" fillId="0" borderId="0" xfId="1" applyFont="1" applyBorder="1"/>
    <xf numFmtId="43" fontId="0" fillId="0" borderId="0" xfId="1" applyFont="1" applyBorder="1"/>
    <xf numFmtId="43" fontId="3" fillId="0" borderId="0" xfId="1" applyFont="1" applyBorder="1"/>
    <xf numFmtId="165" fontId="2" fillId="3" borderId="0" xfId="0" applyNumberFormat="1" applyFont="1" applyFill="1" applyAlignment="1">
      <alignment horizontal="center"/>
    </xf>
    <xf numFmtId="165" fontId="2" fillId="3" borderId="0" xfId="1" applyNumberFormat="1" applyFont="1" applyFill="1" applyBorder="1"/>
    <xf numFmtId="165" fontId="6" fillId="0" borderId="0" xfId="1" applyNumberFormat="1" applyFont="1" applyFill="1" applyBorder="1"/>
    <xf numFmtId="164" fontId="0" fillId="0" borderId="0" xfId="1" applyNumberFormat="1" applyFont="1" applyBorder="1"/>
    <xf numFmtId="0" fontId="5" fillId="4" borderId="0" xfId="0" applyFont="1" applyFill="1"/>
    <xf numFmtId="17" fontId="5" fillId="4" borderId="0" xfId="0" applyNumberFormat="1" applyFont="1" applyFill="1"/>
    <xf numFmtId="0" fontId="7" fillId="0" borderId="0" xfId="0" applyFont="1"/>
    <xf numFmtId="166" fontId="0" fillId="0" borderId="0" xfId="0" applyNumberFormat="1"/>
    <xf numFmtId="166" fontId="1" fillId="0" borderId="1" xfId="0" applyNumberFormat="1" applyFont="1" applyBorder="1"/>
    <xf numFmtId="43" fontId="0" fillId="0" borderId="0" xfId="1" applyFont="1" applyFill="1" applyBorder="1"/>
    <xf numFmtId="9" fontId="0" fillId="0" borderId="0" xfId="4" applyFont="1"/>
    <xf numFmtId="10" fontId="0" fillId="0" borderId="0" xfId="0" applyNumberFormat="1"/>
    <xf numFmtId="10" fontId="0" fillId="0" borderId="0" xfId="4" applyNumberFormat="1" applyFont="1"/>
    <xf numFmtId="10" fontId="1" fillId="0" borderId="1" xfId="4" applyNumberFormat="1" applyFont="1" applyBorder="1"/>
    <xf numFmtId="0" fontId="1" fillId="0" borderId="0" xfId="0" applyFont="1"/>
    <xf numFmtId="167" fontId="0" fillId="0" borderId="0" xfId="0" applyNumberFormat="1"/>
    <xf numFmtId="1" fontId="0" fillId="0" borderId="0" xfId="0" applyNumberFormat="1"/>
    <xf numFmtId="164" fontId="0" fillId="0" borderId="0" xfId="0" applyNumberFormat="1"/>
    <xf numFmtId="0" fontId="5" fillId="4" borderId="0" xfId="0" applyFont="1" applyFill="1" applyAlignment="1">
      <alignment horizontal="center"/>
    </xf>
    <xf numFmtId="0" fontId="0" fillId="0" borderId="0" xfId="0" applyAlignment="1">
      <alignment horizontal="center"/>
    </xf>
    <xf numFmtId="0" fontId="0" fillId="0" borderId="2" xfId="0" applyBorder="1"/>
    <xf numFmtId="0" fontId="0" fillId="0" borderId="3" xfId="0" applyBorder="1"/>
    <xf numFmtId="10" fontId="5" fillId="4" borderId="0" xfId="4" applyNumberFormat="1" applyFont="1" applyFill="1"/>
    <xf numFmtId="168" fontId="0" fillId="0" borderId="0" xfId="0" applyNumberFormat="1" applyAlignment="1">
      <alignment horizontal="center"/>
    </xf>
    <xf numFmtId="10" fontId="0" fillId="0" borderId="0" xfId="4" applyNumberFormat="1" applyFont="1" applyAlignment="1">
      <alignment horizontal="center"/>
    </xf>
    <xf numFmtId="169" fontId="0" fillId="0" borderId="0" xfId="0" applyNumberFormat="1" applyAlignment="1">
      <alignment horizontal="center"/>
    </xf>
    <xf numFmtId="0" fontId="9" fillId="0" borderId="0" xfId="0" applyFont="1"/>
    <xf numFmtId="170" fontId="0" fillId="0" borderId="0" xfId="0" applyNumberFormat="1"/>
    <xf numFmtId="17" fontId="8" fillId="0" borderId="0" xfId="0" applyNumberFormat="1" applyFont="1"/>
    <xf numFmtId="10" fontId="0" fillId="0" borderId="2" xfId="4" applyNumberFormat="1" applyFont="1" applyBorder="1"/>
    <xf numFmtId="10" fontId="0" fillId="0" borderId="3" xfId="4" applyNumberFormat="1" applyFont="1" applyBorder="1"/>
    <xf numFmtId="167" fontId="0" fillId="0" borderId="3" xfId="4" applyNumberFormat="1" applyFont="1" applyBorder="1"/>
    <xf numFmtId="167" fontId="0" fillId="0" borderId="2" xfId="0" applyNumberFormat="1" applyBorder="1"/>
    <xf numFmtId="167" fontId="0" fillId="0" borderId="3" xfId="0" applyNumberFormat="1" applyBorder="1"/>
    <xf numFmtId="1" fontId="0" fillId="0" borderId="2" xfId="0" applyNumberFormat="1" applyBorder="1"/>
    <xf numFmtId="1" fontId="0" fillId="0" borderId="3" xfId="0" applyNumberFormat="1" applyBorder="1"/>
    <xf numFmtId="0" fontId="1" fillId="0" borderId="1" xfId="0" applyFont="1" applyBorder="1"/>
    <xf numFmtId="0" fontId="10" fillId="0" borderId="0" xfId="0" applyFont="1"/>
    <xf numFmtId="10" fontId="10" fillId="0" borderId="0" xfId="4" applyNumberFormat="1" applyFont="1"/>
    <xf numFmtId="0" fontId="0" fillId="0" borderId="0" xfId="0" applyAlignment="1">
      <alignment horizontal="center"/>
    </xf>
    <xf numFmtId="0" fontId="5" fillId="4" borderId="0" xfId="0" applyFont="1" applyFill="1" applyAlignment="1">
      <alignment horizontal="left"/>
    </xf>
    <xf numFmtId="0" fontId="0" fillId="0" borderId="0" xfId="0" applyAlignment="1">
      <alignment horizontal="left" vertical="top" wrapText="1"/>
    </xf>
    <xf numFmtId="0" fontId="0" fillId="0" borderId="0" xfId="0" applyAlignment="1">
      <alignment horizontal="left" vertical="top"/>
    </xf>
    <xf numFmtId="43" fontId="4" fillId="0" borderId="0" xfId="2" applyNumberFormat="1" applyBorder="1" applyAlignment="1" applyProtection="1">
      <alignment horizontal="center"/>
    </xf>
    <xf numFmtId="43" fontId="2" fillId="2" borderId="0" xfId="3" applyNumberFormat="1" applyFont="1" applyBorder="1" applyAlignment="1">
      <alignment horizontal="center"/>
    </xf>
    <xf numFmtId="0" fontId="5" fillId="4" borderId="0" xfId="0" applyFont="1" applyFill="1" applyAlignment="1">
      <alignment horizontal="center"/>
    </xf>
    <xf numFmtId="43" fontId="1" fillId="0" borderId="1" xfId="1" applyFont="1" applyBorder="1"/>
  </cellXfs>
  <cellStyles count="5">
    <cellStyle name="Accent6" xfId="3" builtinId="49"/>
    <cellStyle name="Comma" xfId="1" builtinId="3"/>
    <cellStyle name="Hyperlink" xfId="2" builtinId="8"/>
    <cellStyle name="Normal" xfId="0" builtinId="0"/>
    <cellStyle name="Percent" xfId="4" builtinId="5"/>
  </cellStyles>
  <dxfs count="1">
    <dxf>
      <font>
        <b/>
        <i val="0"/>
        <color theme="0"/>
      </font>
      <fill>
        <patternFill>
          <bgColor theme="5"/>
        </patternFill>
      </fill>
    </dxf>
  </dxfs>
  <tableStyles count="0" defaultTableStyle="TableStyleMedium9" defaultPivotStyle="PivotStyleLight16"/>
  <colors>
    <mruColors>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ichStyles" Target="richData/richStyles.xml"/><Relationship Id="rId1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 Target="richData/rdsupportingpropertybag.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Forecasting!$D$5</c:f>
              <c:strCache>
                <c:ptCount val="1"/>
                <c:pt idx="0">
                  <c:v>Sales</c:v>
                </c:pt>
              </c:strCache>
            </c:strRef>
          </c:tx>
          <c:spPr>
            <a:ln w="28575" cap="rnd">
              <a:solidFill>
                <a:schemeClr val="accent1"/>
              </a:solidFill>
              <a:round/>
            </a:ln>
            <a:effectLst/>
          </c:spPr>
          <c:marker>
            <c:symbol val="none"/>
          </c:marker>
          <c:cat>
            <c:numRef>
              <c:f>Forecasting!$C$6:$C$20</c:f>
              <c:numCache>
                <c:formatCode>General"A"</c:formatCode>
                <c:ptCount val="15"/>
                <c:pt idx="0">
                  <c:v>2016</c:v>
                </c:pt>
                <c:pt idx="1">
                  <c:v>2017</c:v>
                </c:pt>
                <c:pt idx="2">
                  <c:v>2018</c:v>
                </c:pt>
                <c:pt idx="3">
                  <c:v>2019</c:v>
                </c:pt>
                <c:pt idx="4">
                  <c:v>2020</c:v>
                </c:pt>
                <c:pt idx="5">
                  <c:v>2021</c:v>
                </c:pt>
                <c:pt idx="6">
                  <c:v>2022</c:v>
                </c:pt>
                <c:pt idx="7">
                  <c:v>2023</c:v>
                </c:pt>
                <c:pt idx="8">
                  <c:v>2024</c:v>
                </c:pt>
                <c:pt idx="9">
                  <c:v>2025</c:v>
                </c:pt>
                <c:pt idx="10" formatCode="General&quot;E&quot;">
                  <c:v>2026</c:v>
                </c:pt>
                <c:pt idx="11" formatCode="General&quot;E&quot;">
                  <c:v>2027</c:v>
                </c:pt>
                <c:pt idx="12" formatCode="General&quot;E&quot;">
                  <c:v>2028</c:v>
                </c:pt>
                <c:pt idx="13" formatCode="General&quot;E&quot;">
                  <c:v>2029</c:v>
                </c:pt>
                <c:pt idx="14" formatCode="General&quot;E&quot;">
                  <c:v>2030</c:v>
                </c:pt>
              </c:numCache>
            </c:numRef>
          </c:cat>
          <c:val>
            <c:numRef>
              <c:f>Forecasting!$D$6:$D$20</c:f>
              <c:numCache>
                <c:formatCode>General</c:formatCode>
                <c:ptCount val="15"/>
                <c:pt idx="0">
                  <c:v>39192.1</c:v>
                </c:pt>
                <c:pt idx="1">
                  <c:v>42767.6</c:v>
                </c:pt>
                <c:pt idx="2">
                  <c:v>43448.94</c:v>
                </c:pt>
                <c:pt idx="3">
                  <c:v>48339.58</c:v>
                </c:pt>
                <c:pt idx="4">
                  <c:v>49387.7</c:v>
                </c:pt>
                <c:pt idx="5">
                  <c:v>49257.45</c:v>
                </c:pt>
                <c:pt idx="6">
                  <c:v>60644.54</c:v>
                </c:pt>
                <c:pt idx="7">
                  <c:v>70919.03</c:v>
                </c:pt>
                <c:pt idx="8">
                  <c:v>67931.94</c:v>
                </c:pt>
                <c:pt idx="9">
                  <c:v>75323.34</c:v>
                </c:pt>
                <c:pt idx="10">
                  <c:v>77236.775999999998</c:v>
                </c:pt>
                <c:pt idx="11">
                  <c:v>81330.51309090908</c:v>
                </c:pt>
                <c:pt idx="12">
                  <c:v>85424.250181818177</c:v>
                </c:pt>
                <c:pt idx="13">
                  <c:v>89517.987272727274</c:v>
                </c:pt>
                <c:pt idx="14">
                  <c:v>93611.724363636371</c:v>
                </c:pt>
              </c:numCache>
            </c:numRef>
          </c:val>
          <c:smooth val="0"/>
          <c:extLst>
            <c:ext xmlns:c16="http://schemas.microsoft.com/office/drawing/2014/chart" uri="{C3380CC4-5D6E-409C-BE32-E72D297353CC}">
              <c16:uniqueId val="{00000000-8523-4E22-B528-37279C65DDB5}"/>
            </c:ext>
          </c:extLst>
        </c:ser>
        <c:dLbls>
          <c:showLegendKey val="0"/>
          <c:showVal val="0"/>
          <c:showCatName val="0"/>
          <c:showSerName val="0"/>
          <c:showPercent val="0"/>
          <c:showBubbleSize val="0"/>
        </c:dLbls>
        <c:smooth val="0"/>
        <c:axId val="431012095"/>
        <c:axId val="431015455"/>
      </c:lineChart>
      <c:catAx>
        <c:axId val="431012095"/>
        <c:scaling>
          <c:orientation val="minMax"/>
        </c:scaling>
        <c:delete val="0"/>
        <c:axPos val="b"/>
        <c:numFmt formatCode="General&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15455"/>
        <c:crosses val="autoZero"/>
        <c:auto val="1"/>
        <c:lblAlgn val="ctr"/>
        <c:lblOffset val="100"/>
        <c:noMultiLvlLbl val="0"/>
      </c:catAx>
      <c:valAx>
        <c:axId val="43101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120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Forecasting!$D$23</c:f>
              <c:strCache>
                <c:ptCount val="1"/>
                <c:pt idx="0">
                  <c:v>EBITDA</c:v>
                </c:pt>
              </c:strCache>
            </c:strRef>
          </c:tx>
          <c:spPr>
            <a:ln w="28575" cap="rnd">
              <a:solidFill>
                <a:schemeClr val="accent1"/>
              </a:solidFill>
              <a:round/>
            </a:ln>
            <a:effectLst/>
          </c:spPr>
          <c:marker>
            <c:symbol val="none"/>
          </c:marker>
          <c:cat>
            <c:numRef>
              <c:f>Forecasting!$C$24:$C$38</c:f>
              <c:numCache>
                <c:formatCode>General</c:formatCode>
                <c:ptCount val="1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numCache>
            </c:numRef>
          </c:cat>
          <c:val>
            <c:numRef>
              <c:f>Forecasting!$D$24:$D$38</c:f>
              <c:numCache>
                <c:formatCode>General</c:formatCode>
                <c:ptCount val="15"/>
                <c:pt idx="0">
                  <c:v>14531.49</c:v>
                </c:pt>
                <c:pt idx="1">
                  <c:v>15469.51</c:v>
                </c:pt>
                <c:pt idx="2">
                  <c:v>16520.590000000004</c:v>
                </c:pt>
                <c:pt idx="3">
                  <c:v>18537.39</c:v>
                </c:pt>
                <c:pt idx="4">
                  <c:v>19343.54</c:v>
                </c:pt>
                <c:pt idx="5">
                  <c:v>17064.78</c:v>
                </c:pt>
                <c:pt idx="6">
                  <c:v>20623.149999999994</c:v>
                </c:pt>
                <c:pt idx="7">
                  <c:v>25704.259999999995</c:v>
                </c:pt>
                <c:pt idx="8">
                  <c:v>25187.53</c:v>
                </c:pt>
                <c:pt idx="9">
                  <c:v>25839.449999999997</c:v>
                </c:pt>
                <c:pt idx="10">
                  <c:v>27205.324000000001</c:v>
                </c:pt>
                <c:pt idx="11">
                  <c:v>28536.806727272728</c:v>
                </c:pt>
                <c:pt idx="12">
                  <c:v>29868.289454545451</c:v>
                </c:pt>
                <c:pt idx="13">
                  <c:v>31199.772181818178</c:v>
                </c:pt>
                <c:pt idx="14">
                  <c:v>32531.254909090905</c:v>
                </c:pt>
              </c:numCache>
            </c:numRef>
          </c:val>
          <c:smooth val="0"/>
          <c:extLst>
            <c:ext xmlns:c16="http://schemas.microsoft.com/office/drawing/2014/chart" uri="{C3380CC4-5D6E-409C-BE32-E72D297353CC}">
              <c16:uniqueId val="{00000000-2FB9-4CC9-BF41-A73BC87F5EA0}"/>
            </c:ext>
          </c:extLst>
        </c:ser>
        <c:dLbls>
          <c:showLegendKey val="0"/>
          <c:showVal val="0"/>
          <c:showCatName val="0"/>
          <c:showSerName val="0"/>
          <c:showPercent val="0"/>
          <c:showBubbleSize val="0"/>
        </c:dLbls>
        <c:smooth val="0"/>
        <c:axId val="431007295"/>
        <c:axId val="431032255"/>
      </c:lineChart>
      <c:catAx>
        <c:axId val="43100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2255"/>
        <c:crosses val="autoZero"/>
        <c:auto val="1"/>
        <c:lblAlgn val="ctr"/>
        <c:lblOffset val="100"/>
        <c:noMultiLvlLbl val="0"/>
      </c:catAx>
      <c:valAx>
        <c:axId val="43103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072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Forecasting!$D$41</c:f>
              <c:strCache>
                <c:ptCount val="1"/>
                <c:pt idx="0">
                  <c:v>EBT</c:v>
                </c:pt>
              </c:strCache>
            </c:strRef>
          </c:tx>
          <c:spPr>
            <a:ln w="28575" cap="rnd">
              <a:solidFill>
                <a:schemeClr val="accent1"/>
              </a:solidFill>
              <a:round/>
            </a:ln>
            <a:effectLst/>
          </c:spPr>
          <c:marker>
            <c:symbol val="none"/>
          </c:marker>
          <c:cat>
            <c:numRef>
              <c:f>Forecasting!$C$42:$C$56</c:f>
              <c:numCache>
                <c:formatCode>General</c:formatCode>
                <c:ptCount val="1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numCache>
            </c:numRef>
          </c:cat>
          <c:val>
            <c:numRef>
              <c:f>Forecasting!$D$42:$D$56</c:f>
              <c:numCache>
                <c:formatCode>General</c:formatCode>
                <c:ptCount val="15"/>
                <c:pt idx="0">
                  <c:v>13375.96</c:v>
                </c:pt>
                <c:pt idx="1">
                  <c:v>14267.69</c:v>
                </c:pt>
                <c:pt idx="2">
                  <c:v>15169.300000000003</c:v>
                </c:pt>
                <c:pt idx="3">
                  <c:v>17069.38</c:v>
                </c:pt>
                <c:pt idx="4">
                  <c:v>17617.25</c:v>
                </c:pt>
                <c:pt idx="5">
                  <c:v>15361.22</c:v>
                </c:pt>
                <c:pt idx="6">
                  <c:v>18830.749999999993</c:v>
                </c:pt>
                <c:pt idx="7">
                  <c:v>23817.479999999996</c:v>
                </c:pt>
                <c:pt idx="8">
                  <c:v>23630.37</c:v>
                </c:pt>
                <c:pt idx="9">
                  <c:v>24148.069999999996</c:v>
                </c:pt>
                <c:pt idx="10">
                  <c:v>25287.304666666656</c:v>
                </c:pt>
                <c:pt idx="11">
                  <c:v>26552.496969696957</c:v>
                </c:pt>
                <c:pt idx="12">
                  <c:v>27817.689272727264</c:v>
                </c:pt>
                <c:pt idx="13">
                  <c:v>29082.881575757565</c:v>
                </c:pt>
                <c:pt idx="14">
                  <c:v>30348.073878787865</c:v>
                </c:pt>
              </c:numCache>
            </c:numRef>
          </c:val>
          <c:smooth val="0"/>
          <c:extLst>
            <c:ext xmlns:c16="http://schemas.microsoft.com/office/drawing/2014/chart" uri="{C3380CC4-5D6E-409C-BE32-E72D297353CC}">
              <c16:uniqueId val="{00000000-87A9-47D4-836C-E6569CFF2137}"/>
            </c:ext>
          </c:extLst>
        </c:ser>
        <c:dLbls>
          <c:showLegendKey val="0"/>
          <c:showVal val="0"/>
          <c:showCatName val="0"/>
          <c:showSerName val="0"/>
          <c:showPercent val="0"/>
          <c:showBubbleSize val="0"/>
        </c:dLbls>
        <c:smooth val="0"/>
        <c:axId val="431026495"/>
        <c:axId val="431036575"/>
      </c:lineChart>
      <c:catAx>
        <c:axId val="43102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575"/>
        <c:crosses val="autoZero"/>
        <c:auto val="1"/>
        <c:lblAlgn val="ctr"/>
        <c:lblOffset val="100"/>
        <c:noMultiLvlLbl val="0"/>
      </c:catAx>
      <c:valAx>
        <c:axId val="43103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264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Forecasting!$D$59</c:f>
              <c:strCache>
                <c:ptCount val="1"/>
                <c:pt idx="0">
                  <c:v>EPS</c:v>
                </c:pt>
              </c:strCache>
            </c:strRef>
          </c:tx>
          <c:spPr>
            <a:ln w="28575" cap="rnd">
              <a:solidFill>
                <a:schemeClr val="accent1"/>
              </a:solidFill>
              <a:round/>
            </a:ln>
            <a:effectLst/>
          </c:spPr>
          <c:marker>
            <c:symbol val="none"/>
          </c:marker>
          <c:cat>
            <c:numRef>
              <c:f>Forecasting!$C$60:$C$74</c:f>
              <c:numCache>
                <c:formatCode>General</c:formatCode>
                <c:ptCount val="1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numCache>
            </c:numRef>
          </c:cat>
          <c:val>
            <c:numRef>
              <c:f>Forecasting!$D$60:$D$74</c:f>
              <c:numCache>
                <c:formatCode>General</c:formatCode>
                <c:ptCount val="15"/>
                <c:pt idx="0">
                  <c:v>6.6422689465486959</c:v>
                </c:pt>
                <c:pt idx="1">
                  <c:v>7.1773383604722003</c:v>
                </c:pt>
                <c:pt idx="2">
                  <c:v>7.5816474521275303</c:v>
                </c:pt>
                <c:pt idx="3">
                  <c:v>8.7738077757655866</c:v>
                </c:pt>
                <c:pt idx="4">
                  <c:v>10.718553228876848</c:v>
                </c:pt>
                <c:pt idx="5">
                  <c:v>8.7790280124788769</c:v>
                </c:pt>
                <c:pt idx="6">
                  <c:v>11.030657372619341</c:v>
                </c:pt>
                <c:pt idx="7">
                  <c:v>13.983810749919533</c:v>
                </c:pt>
                <c:pt idx="8">
                  <c:v>13.953807460331445</c:v>
                </c:pt>
                <c:pt idx="9">
                  <c:v>13.790524288602452</c:v>
                </c:pt>
                <c:pt idx="10">
                  <c:v>15.196858426128312</c:v>
                </c:pt>
                <c:pt idx="11">
                  <c:v>16.097533710010868</c:v>
                </c:pt>
                <c:pt idx="12">
                  <c:v>16.998208993893424</c:v>
                </c:pt>
                <c:pt idx="13">
                  <c:v>17.898884277775984</c:v>
                </c:pt>
                <c:pt idx="14">
                  <c:v>18.79955956165854</c:v>
                </c:pt>
              </c:numCache>
            </c:numRef>
          </c:val>
          <c:smooth val="0"/>
          <c:extLst>
            <c:ext xmlns:c16="http://schemas.microsoft.com/office/drawing/2014/chart" uri="{C3380CC4-5D6E-409C-BE32-E72D297353CC}">
              <c16:uniqueId val="{00000000-A013-43C5-9458-E0BB32D9950D}"/>
            </c:ext>
          </c:extLst>
        </c:ser>
        <c:dLbls>
          <c:showLegendKey val="0"/>
          <c:showVal val="0"/>
          <c:showCatName val="0"/>
          <c:showSerName val="0"/>
          <c:showPercent val="0"/>
          <c:showBubbleSize val="0"/>
        </c:dLbls>
        <c:smooth val="0"/>
        <c:axId val="431009215"/>
        <c:axId val="431010655"/>
      </c:lineChart>
      <c:catAx>
        <c:axId val="43100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10655"/>
        <c:crosses val="autoZero"/>
        <c:auto val="1"/>
        <c:lblAlgn val="ctr"/>
        <c:lblOffset val="100"/>
        <c:noMultiLvlLbl val="0"/>
      </c:catAx>
      <c:valAx>
        <c:axId val="43101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092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Forecasting!$D$5</c:f>
              <c:strCache>
                <c:ptCount val="1"/>
                <c:pt idx="0">
                  <c:v>Sales</c:v>
                </c:pt>
              </c:strCache>
            </c:strRef>
          </c:tx>
          <c:spPr>
            <a:ln w="28575" cap="rnd">
              <a:solidFill>
                <a:schemeClr val="accent1"/>
              </a:solidFill>
              <a:round/>
            </a:ln>
            <a:effectLst/>
          </c:spPr>
          <c:marker>
            <c:symbol val="none"/>
          </c:marker>
          <c:cat>
            <c:numRef>
              <c:f>Forecasting!$C$6:$C$20</c:f>
              <c:numCache>
                <c:formatCode>General"A"</c:formatCode>
                <c:ptCount val="15"/>
                <c:pt idx="0">
                  <c:v>2016</c:v>
                </c:pt>
                <c:pt idx="1">
                  <c:v>2017</c:v>
                </c:pt>
                <c:pt idx="2">
                  <c:v>2018</c:v>
                </c:pt>
                <c:pt idx="3">
                  <c:v>2019</c:v>
                </c:pt>
                <c:pt idx="4">
                  <c:v>2020</c:v>
                </c:pt>
                <c:pt idx="5">
                  <c:v>2021</c:v>
                </c:pt>
                <c:pt idx="6">
                  <c:v>2022</c:v>
                </c:pt>
                <c:pt idx="7">
                  <c:v>2023</c:v>
                </c:pt>
                <c:pt idx="8">
                  <c:v>2024</c:v>
                </c:pt>
                <c:pt idx="9">
                  <c:v>2025</c:v>
                </c:pt>
                <c:pt idx="10" formatCode="General&quot;E&quot;">
                  <c:v>2026</c:v>
                </c:pt>
                <c:pt idx="11" formatCode="General&quot;E&quot;">
                  <c:v>2027</c:v>
                </c:pt>
                <c:pt idx="12" formatCode="General&quot;E&quot;">
                  <c:v>2028</c:v>
                </c:pt>
                <c:pt idx="13" formatCode="General&quot;E&quot;">
                  <c:v>2029</c:v>
                </c:pt>
                <c:pt idx="14" formatCode="General&quot;E&quot;">
                  <c:v>2030</c:v>
                </c:pt>
              </c:numCache>
            </c:numRef>
          </c:cat>
          <c:val>
            <c:numRef>
              <c:f>Forecasting!$D$6:$D$20</c:f>
              <c:numCache>
                <c:formatCode>General</c:formatCode>
                <c:ptCount val="15"/>
                <c:pt idx="0">
                  <c:v>39192.1</c:v>
                </c:pt>
                <c:pt idx="1">
                  <c:v>42767.6</c:v>
                </c:pt>
                <c:pt idx="2">
                  <c:v>43448.94</c:v>
                </c:pt>
                <c:pt idx="3">
                  <c:v>48339.58</c:v>
                </c:pt>
                <c:pt idx="4">
                  <c:v>49387.7</c:v>
                </c:pt>
                <c:pt idx="5">
                  <c:v>49257.45</c:v>
                </c:pt>
                <c:pt idx="6">
                  <c:v>60644.54</c:v>
                </c:pt>
                <c:pt idx="7">
                  <c:v>70919.03</c:v>
                </c:pt>
                <c:pt idx="8">
                  <c:v>67931.94</c:v>
                </c:pt>
                <c:pt idx="9">
                  <c:v>75323.34</c:v>
                </c:pt>
                <c:pt idx="10">
                  <c:v>77236.775999999998</c:v>
                </c:pt>
                <c:pt idx="11">
                  <c:v>81330.51309090908</c:v>
                </c:pt>
                <c:pt idx="12">
                  <c:v>85424.250181818177</c:v>
                </c:pt>
                <c:pt idx="13">
                  <c:v>89517.987272727274</c:v>
                </c:pt>
                <c:pt idx="14">
                  <c:v>93611.724363636371</c:v>
                </c:pt>
              </c:numCache>
            </c:numRef>
          </c:val>
          <c:smooth val="0"/>
          <c:extLst>
            <c:ext xmlns:c16="http://schemas.microsoft.com/office/drawing/2014/chart" uri="{C3380CC4-5D6E-409C-BE32-E72D297353CC}">
              <c16:uniqueId val="{00000000-784E-42CF-A171-7B3E3CA6E8F4}"/>
            </c:ext>
          </c:extLst>
        </c:ser>
        <c:dLbls>
          <c:showLegendKey val="0"/>
          <c:showVal val="0"/>
          <c:showCatName val="0"/>
          <c:showSerName val="0"/>
          <c:showPercent val="0"/>
          <c:showBubbleSize val="0"/>
        </c:dLbls>
        <c:smooth val="0"/>
        <c:axId val="431012095"/>
        <c:axId val="431015455"/>
      </c:lineChart>
      <c:catAx>
        <c:axId val="431012095"/>
        <c:scaling>
          <c:orientation val="minMax"/>
        </c:scaling>
        <c:delete val="0"/>
        <c:axPos val="b"/>
        <c:numFmt formatCode="General&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15455"/>
        <c:crosses val="autoZero"/>
        <c:auto val="1"/>
        <c:lblAlgn val="ctr"/>
        <c:lblOffset val="100"/>
        <c:noMultiLvlLbl val="0"/>
      </c:catAx>
      <c:valAx>
        <c:axId val="43101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1209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Forecasting!$D$23</c:f>
              <c:strCache>
                <c:ptCount val="1"/>
                <c:pt idx="0">
                  <c:v>EBITDA</c:v>
                </c:pt>
              </c:strCache>
            </c:strRef>
          </c:tx>
          <c:spPr>
            <a:ln w="28575" cap="rnd">
              <a:solidFill>
                <a:schemeClr val="accent1"/>
              </a:solidFill>
              <a:round/>
            </a:ln>
            <a:effectLst/>
          </c:spPr>
          <c:marker>
            <c:symbol val="none"/>
          </c:marker>
          <c:cat>
            <c:numRef>
              <c:f>Forecasting!$C$24:$C$38</c:f>
              <c:numCache>
                <c:formatCode>General</c:formatCode>
                <c:ptCount val="1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numCache>
            </c:numRef>
          </c:cat>
          <c:val>
            <c:numRef>
              <c:f>Forecasting!$D$24:$D$38</c:f>
              <c:numCache>
                <c:formatCode>General</c:formatCode>
                <c:ptCount val="15"/>
                <c:pt idx="0">
                  <c:v>14531.49</c:v>
                </c:pt>
                <c:pt idx="1">
                  <c:v>15469.51</c:v>
                </c:pt>
                <c:pt idx="2">
                  <c:v>16520.590000000004</c:v>
                </c:pt>
                <c:pt idx="3">
                  <c:v>18537.39</c:v>
                </c:pt>
                <c:pt idx="4">
                  <c:v>19343.54</c:v>
                </c:pt>
                <c:pt idx="5">
                  <c:v>17064.78</c:v>
                </c:pt>
                <c:pt idx="6">
                  <c:v>20623.149999999994</c:v>
                </c:pt>
                <c:pt idx="7">
                  <c:v>25704.259999999995</c:v>
                </c:pt>
                <c:pt idx="8">
                  <c:v>25187.53</c:v>
                </c:pt>
                <c:pt idx="9">
                  <c:v>25839.449999999997</c:v>
                </c:pt>
                <c:pt idx="10">
                  <c:v>27205.324000000001</c:v>
                </c:pt>
                <c:pt idx="11">
                  <c:v>28536.806727272728</c:v>
                </c:pt>
                <c:pt idx="12">
                  <c:v>29868.289454545451</c:v>
                </c:pt>
                <c:pt idx="13">
                  <c:v>31199.772181818178</c:v>
                </c:pt>
                <c:pt idx="14">
                  <c:v>32531.254909090905</c:v>
                </c:pt>
              </c:numCache>
            </c:numRef>
          </c:val>
          <c:smooth val="0"/>
          <c:extLst>
            <c:ext xmlns:c16="http://schemas.microsoft.com/office/drawing/2014/chart" uri="{C3380CC4-5D6E-409C-BE32-E72D297353CC}">
              <c16:uniqueId val="{00000000-3640-4769-BBEC-7298141FC00A}"/>
            </c:ext>
          </c:extLst>
        </c:ser>
        <c:dLbls>
          <c:showLegendKey val="0"/>
          <c:showVal val="0"/>
          <c:showCatName val="0"/>
          <c:showSerName val="0"/>
          <c:showPercent val="0"/>
          <c:showBubbleSize val="0"/>
        </c:dLbls>
        <c:smooth val="0"/>
        <c:axId val="431007295"/>
        <c:axId val="431032255"/>
      </c:lineChart>
      <c:catAx>
        <c:axId val="43100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2255"/>
        <c:crosses val="autoZero"/>
        <c:auto val="1"/>
        <c:lblAlgn val="ctr"/>
        <c:lblOffset val="100"/>
        <c:noMultiLvlLbl val="0"/>
      </c:catAx>
      <c:valAx>
        <c:axId val="43103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0729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Forecasting!$D$41</c:f>
              <c:strCache>
                <c:ptCount val="1"/>
                <c:pt idx="0">
                  <c:v>EBT</c:v>
                </c:pt>
              </c:strCache>
            </c:strRef>
          </c:tx>
          <c:spPr>
            <a:ln w="28575" cap="rnd">
              <a:solidFill>
                <a:schemeClr val="accent1"/>
              </a:solidFill>
              <a:round/>
            </a:ln>
            <a:effectLst/>
          </c:spPr>
          <c:marker>
            <c:symbol val="none"/>
          </c:marker>
          <c:cat>
            <c:numRef>
              <c:f>Forecasting!$C$42:$C$56</c:f>
              <c:numCache>
                <c:formatCode>General</c:formatCode>
                <c:ptCount val="1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numCache>
            </c:numRef>
          </c:cat>
          <c:val>
            <c:numRef>
              <c:f>Forecasting!$D$42:$D$56</c:f>
              <c:numCache>
                <c:formatCode>General</c:formatCode>
                <c:ptCount val="15"/>
                <c:pt idx="0">
                  <c:v>13375.96</c:v>
                </c:pt>
                <c:pt idx="1">
                  <c:v>14267.69</c:v>
                </c:pt>
                <c:pt idx="2">
                  <c:v>15169.300000000003</c:v>
                </c:pt>
                <c:pt idx="3">
                  <c:v>17069.38</c:v>
                </c:pt>
                <c:pt idx="4">
                  <c:v>17617.25</c:v>
                </c:pt>
                <c:pt idx="5">
                  <c:v>15361.22</c:v>
                </c:pt>
                <c:pt idx="6">
                  <c:v>18830.749999999993</c:v>
                </c:pt>
                <c:pt idx="7">
                  <c:v>23817.479999999996</c:v>
                </c:pt>
                <c:pt idx="8">
                  <c:v>23630.37</c:v>
                </c:pt>
                <c:pt idx="9">
                  <c:v>24148.069999999996</c:v>
                </c:pt>
                <c:pt idx="10">
                  <c:v>25287.304666666656</c:v>
                </c:pt>
                <c:pt idx="11">
                  <c:v>26552.496969696957</c:v>
                </c:pt>
                <c:pt idx="12">
                  <c:v>27817.689272727264</c:v>
                </c:pt>
                <c:pt idx="13">
                  <c:v>29082.881575757565</c:v>
                </c:pt>
                <c:pt idx="14">
                  <c:v>30348.073878787865</c:v>
                </c:pt>
              </c:numCache>
            </c:numRef>
          </c:val>
          <c:smooth val="0"/>
          <c:extLst>
            <c:ext xmlns:c16="http://schemas.microsoft.com/office/drawing/2014/chart" uri="{C3380CC4-5D6E-409C-BE32-E72D297353CC}">
              <c16:uniqueId val="{00000000-DC8A-41DA-8DF2-3C8765CAB30D}"/>
            </c:ext>
          </c:extLst>
        </c:ser>
        <c:dLbls>
          <c:showLegendKey val="0"/>
          <c:showVal val="0"/>
          <c:showCatName val="0"/>
          <c:showSerName val="0"/>
          <c:showPercent val="0"/>
          <c:showBubbleSize val="0"/>
        </c:dLbls>
        <c:smooth val="0"/>
        <c:axId val="431026495"/>
        <c:axId val="431036575"/>
      </c:lineChart>
      <c:catAx>
        <c:axId val="43102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575"/>
        <c:crosses val="autoZero"/>
        <c:auto val="1"/>
        <c:lblAlgn val="ctr"/>
        <c:lblOffset val="100"/>
        <c:noMultiLvlLbl val="0"/>
      </c:catAx>
      <c:valAx>
        <c:axId val="43103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2649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Forecasting!$D$59</c:f>
              <c:strCache>
                <c:ptCount val="1"/>
                <c:pt idx="0">
                  <c:v>EPS</c:v>
                </c:pt>
              </c:strCache>
            </c:strRef>
          </c:tx>
          <c:spPr>
            <a:ln w="28575" cap="rnd">
              <a:solidFill>
                <a:schemeClr val="accent1"/>
              </a:solidFill>
              <a:round/>
            </a:ln>
            <a:effectLst/>
          </c:spPr>
          <c:marker>
            <c:symbol val="none"/>
          </c:marker>
          <c:cat>
            <c:numRef>
              <c:f>Forecasting!$C$60:$C$74</c:f>
              <c:numCache>
                <c:formatCode>General</c:formatCode>
                <c:ptCount val="1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numCache>
            </c:numRef>
          </c:cat>
          <c:val>
            <c:numRef>
              <c:f>Forecasting!$D$60:$D$74</c:f>
              <c:numCache>
                <c:formatCode>General</c:formatCode>
                <c:ptCount val="15"/>
                <c:pt idx="0">
                  <c:v>6.6422689465486959</c:v>
                </c:pt>
                <c:pt idx="1">
                  <c:v>7.1773383604722003</c:v>
                </c:pt>
                <c:pt idx="2">
                  <c:v>7.5816474521275303</c:v>
                </c:pt>
                <c:pt idx="3">
                  <c:v>8.7738077757655866</c:v>
                </c:pt>
                <c:pt idx="4">
                  <c:v>10.718553228876848</c:v>
                </c:pt>
                <c:pt idx="5">
                  <c:v>8.7790280124788769</c:v>
                </c:pt>
                <c:pt idx="6">
                  <c:v>11.030657372619341</c:v>
                </c:pt>
                <c:pt idx="7">
                  <c:v>13.983810749919533</c:v>
                </c:pt>
                <c:pt idx="8">
                  <c:v>13.953807460331445</c:v>
                </c:pt>
                <c:pt idx="9">
                  <c:v>13.790524288602452</c:v>
                </c:pt>
                <c:pt idx="10">
                  <c:v>15.196858426128312</c:v>
                </c:pt>
                <c:pt idx="11">
                  <c:v>16.097533710010868</c:v>
                </c:pt>
                <c:pt idx="12">
                  <c:v>16.998208993893424</c:v>
                </c:pt>
                <c:pt idx="13">
                  <c:v>17.898884277775984</c:v>
                </c:pt>
                <c:pt idx="14">
                  <c:v>18.79955956165854</c:v>
                </c:pt>
              </c:numCache>
            </c:numRef>
          </c:val>
          <c:smooth val="0"/>
          <c:extLst>
            <c:ext xmlns:c16="http://schemas.microsoft.com/office/drawing/2014/chart" uri="{C3380CC4-5D6E-409C-BE32-E72D297353CC}">
              <c16:uniqueId val="{00000000-0087-4707-A753-1075CF04C712}"/>
            </c:ext>
          </c:extLst>
        </c:ser>
        <c:dLbls>
          <c:showLegendKey val="0"/>
          <c:showVal val="0"/>
          <c:showCatName val="0"/>
          <c:showSerName val="0"/>
          <c:showPercent val="0"/>
          <c:showBubbleSize val="0"/>
        </c:dLbls>
        <c:smooth val="0"/>
        <c:axId val="431009215"/>
        <c:axId val="431010655"/>
      </c:lineChart>
      <c:catAx>
        <c:axId val="43100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10655"/>
        <c:crosses val="autoZero"/>
        <c:auto val="1"/>
        <c:lblAlgn val="ctr"/>
        <c:lblOffset val="100"/>
        <c:noMultiLvlLbl val="0"/>
      </c:catAx>
      <c:valAx>
        <c:axId val="43101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0921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3.svg"/><Relationship Id="rId5" Type="http://schemas.openxmlformats.org/officeDocument/2006/relationships/image" Target="../media/image2.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47625</xdr:colOff>
      <xdr:row>3</xdr:row>
      <xdr:rowOff>23811</xdr:rowOff>
    </xdr:from>
    <xdr:to>
      <xdr:col>9</xdr:col>
      <xdr:colOff>590550</xdr:colOff>
      <xdr:row>19</xdr:row>
      <xdr:rowOff>180974</xdr:rowOff>
    </xdr:to>
    <xdr:graphicFrame macro="">
      <xdr:nvGraphicFramePr>
        <xdr:cNvPr id="3" name="Chart 2">
          <a:extLst>
            <a:ext uri="{FF2B5EF4-FFF2-40B4-BE49-F238E27FC236}">
              <a16:creationId xmlns:a16="http://schemas.microsoft.com/office/drawing/2014/main" id="{80BA976A-C770-BF1B-4060-CCF2184ADB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xdr:colOff>
      <xdr:row>21</xdr:row>
      <xdr:rowOff>33336</xdr:rowOff>
    </xdr:from>
    <xdr:to>
      <xdr:col>9</xdr:col>
      <xdr:colOff>571500</xdr:colOff>
      <xdr:row>37</xdr:row>
      <xdr:rowOff>152399</xdr:rowOff>
    </xdr:to>
    <xdr:graphicFrame macro="">
      <xdr:nvGraphicFramePr>
        <xdr:cNvPr id="4" name="Chart 3">
          <a:extLst>
            <a:ext uri="{FF2B5EF4-FFF2-40B4-BE49-F238E27FC236}">
              <a16:creationId xmlns:a16="http://schemas.microsoft.com/office/drawing/2014/main" id="{4BB040E8-B0B9-0D57-2E75-5AD2F7F3C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47625</xdr:colOff>
      <xdr:row>39</xdr:row>
      <xdr:rowOff>71437</xdr:rowOff>
    </xdr:from>
    <xdr:to>
      <xdr:col>9</xdr:col>
      <xdr:colOff>590550</xdr:colOff>
      <xdr:row>55</xdr:row>
      <xdr:rowOff>142875</xdr:rowOff>
    </xdr:to>
    <xdr:graphicFrame macro="">
      <xdr:nvGraphicFramePr>
        <xdr:cNvPr id="5" name="Chart 4">
          <a:extLst>
            <a:ext uri="{FF2B5EF4-FFF2-40B4-BE49-F238E27FC236}">
              <a16:creationId xmlns:a16="http://schemas.microsoft.com/office/drawing/2014/main" id="{F7739EA4-85A5-EE87-32FE-EF0369FB8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47625</xdr:colOff>
      <xdr:row>57</xdr:row>
      <xdr:rowOff>42862</xdr:rowOff>
    </xdr:from>
    <xdr:to>
      <xdr:col>9</xdr:col>
      <xdr:colOff>581025</xdr:colOff>
      <xdr:row>73</xdr:row>
      <xdr:rowOff>152400</xdr:rowOff>
    </xdr:to>
    <xdr:graphicFrame macro="">
      <xdr:nvGraphicFramePr>
        <xdr:cNvPr id="6" name="Chart 5">
          <a:extLst>
            <a:ext uri="{FF2B5EF4-FFF2-40B4-BE49-F238E27FC236}">
              <a16:creationId xmlns:a16="http://schemas.microsoft.com/office/drawing/2014/main" id="{9DAAED27-F24C-DAEB-CB2B-7EC87500FD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41</xdr:row>
      <xdr:rowOff>9525</xdr:rowOff>
    </xdr:from>
    <xdr:to>
      <xdr:col>5</xdr:col>
      <xdr:colOff>428625</xdr:colOff>
      <xdr:row>57</xdr:row>
      <xdr:rowOff>180975</xdr:rowOff>
    </xdr:to>
    <xdr:graphicFrame macro="">
      <xdr:nvGraphicFramePr>
        <xdr:cNvPr id="2" name="Chart 1">
          <a:extLst>
            <a:ext uri="{FF2B5EF4-FFF2-40B4-BE49-F238E27FC236}">
              <a16:creationId xmlns:a16="http://schemas.microsoft.com/office/drawing/2014/main" id="{D6E69945-AF3E-45CE-876E-4BC5B58B7A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533400</xdr:colOff>
      <xdr:row>41</xdr:row>
      <xdr:rowOff>0</xdr:rowOff>
    </xdr:from>
    <xdr:to>
      <xdr:col>10</xdr:col>
      <xdr:colOff>600075</xdr:colOff>
      <xdr:row>57</xdr:row>
      <xdr:rowOff>171450</xdr:rowOff>
    </xdr:to>
    <xdr:graphicFrame macro="">
      <xdr:nvGraphicFramePr>
        <xdr:cNvPr id="3" name="Chart 2">
          <a:extLst>
            <a:ext uri="{FF2B5EF4-FFF2-40B4-BE49-F238E27FC236}">
              <a16:creationId xmlns:a16="http://schemas.microsoft.com/office/drawing/2014/main" id="{DD096B2F-F4AD-4170-B0C6-90FEE17D77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58</xdr:row>
      <xdr:rowOff>57149</xdr:rowOff>
    </xdr:from>
    <xdr:to>
      <xdr:col>5</xdr:col>
      <xdr:colOff>419100</xdr:colOff>
      <xdr:row>74</xdr:row>
      <xdr:rowOff>80962</xdr:rowOff>
    </xdr:to>
    <xdr:graphicFrame macro="">
      <xdr:nvGraphicFramePr>
        <xdr:cNvPr id="4" name="Chart 3">
          <a:extLst>
            <a:ext uri="{FF2B5EF4-FFF2-40B4-BE49-F238E27FC236}">
              <a16:creationId xmlns:a16="http://schemas.microsoft.com/office/drawing/2014/main" id="{292FDC00-E9CC-40BE-95E5-2CE2AAA83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552450</xdr:colOff>
      <xdr:row>58</xdr:row>
      <xdr:rowOff>76200</xdr:rowOff>
    </xdr:from>
    <xdr:to>
      <xdr:col>11</xdr:col>
      <xdr:colOff>0</xdr:colOff>
      <xdr:row>74</xdr:row>
      <xdr:rowOff>166687</xdr:rowOff>
    </xdr:to>
    <xdr:graphicFrame macro="">
      <xdr:nvGraphicFramePr>
        <xdr:cNvPr id="5" name="Chart 4">
          <a:extLst>
            <a:ext uri="{FF2B5EF4-FFF2-40B4-BE49-F238E27FC236}">
              <a16:creationId xmlns:a16="http://schemas.microsoft.com/office/drawing/2014/main" id="{64F54028-F1A2-4FB2-8E4F-1525BA5CB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116893</xdr:colOff>
      <xdr:row>1</xdr:row>
      <xdr:rowOff>10788</xdr:rowOff>
    </xdr:from>
    <xdr:to>
      <xdr:col>10</xdr:col>
      <xdr:colOff>71174</xdr:colOff>
      <xdr:row>2</xdr:row>
      <xdr:rowOff>176847</xdr:rowOff>
    </xdr:to>
    <xdr:pic>
      <xdr:nvPicPr>
        <xdr:cNvPr id="9" name="Graphic 8">
          <a:extLst>
            <a:ext uri="{FF2B5EF4-FFF2-40B4-BE49-F238E27FC236}">
              <a16:creationId xmlns:a16="http://schemas.microsoft.com/office/drawing/2014/main" id="{75C8B82A-A41D-1775-67AC-232C1005B35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931872" y="194533"/>
          <a:ext cx="564962" cy="592995"/>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2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https://www.bing.com/financeapi/forcetrigger?t=ahie2w&amp;q=XNSE%3aITC&amp;form=skydnc</v>
    <v>Learn more on Bing</v>
  </rv>
  <rv s="1">
    <v>en-US</v>
    <v>ahie2w</v>
    <v>268435456</v>
    <v>1</v>
    <v>Powered by Refinitiv</v>
    <v>0</v>
    <v>ITC LIMITED (XNSE:ITC)</v>
    <v>2</v>
    <v>3</v>
    <v>Finance</v>
    <v>4</v>
    <v>471.5</v>
    <v>390.15</v>
    <v>0.74909999999999999</v>
    <v>-2.1</v>
    <v>-5.2119999999999996E-3</v>
    <v>INR</v>
    <v>ITC Limited is an India-based diversified conglomerate company. The Company’s segments include Fast Moving Consumer Goods (FMCG), Paperboards, Paper and Packaging, and Agri Business. The FMCG segment comprises products, such as cigarettes, cigars, education and stationery supplies, personal care items, safety matches, agarbattis, and branded packaged foods, which include staples and meals, snacks, dairy and beverages, biscuits and cakes, chocolates, coffee, and confectionery. The Paperboards, Paper and Packaging segment includes specialty paper and flexible packaging. The Agri Business segment involves trading of agricultural commodities such as wheat, rice, spices, coffee, soya, and leaf tobacco. Its FMCG brands include Aashirvaad, Sunfeast, Yippee!, Bingo!, B Natural, 24 Mantra Organic, ITC Master Chef, Fabelle, Sunbean, Fiama, Vivel, Savlon, Classmate, Paperkraft, Mangaldeep, and others. Its personal care brands feature EDW Essenza, Dermafique, Fiama, Vivel, Engage, and others.</v>
    <v>22041</v>
    <v>National Stock Exchange of India</v>
    <v>XNSE</v>
    <v>XNSE</v>
    <v>Virginia House, 37 Jawaharlal Nehru Road, KOLKATA, WEST BENGAL, 700071 IN</v>
    <v>404</v>
    <v>Food &amp; Tobacco</v>
    <v>Stock</v>
    <v>46003.288425925923</v>
    <v>0</v>
    <v>400.1</v>
    <v>5050972000000</v>
    <v>ITC LIMITED</v>
    <v>ITC LIMITED</v>
    <v>402.9</v>
    <v>24.864799999999999</v>
    <v>402.9</v>
    <v>400.8</v>
    <v>12528760000</v>
    <v>ITC</v>
    <v>ITC LIMITED (XNSE:ITC)</v>
    <v>3404465</v>
    <v>8280220</v>
    <v>1910</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spb>
    <spb s="4">
      <v>Delayed 5 minutes</v>
      <v>from previous close</v>
      <v>from previous close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3" formatCode="#,##0"/>
    </x:dxf>
    <x:dxf>
      <x:numFmt numFmtId="4" formatCode="#,##0.00"/>
    </x:dxf>
    <x:dxf>
      <x:numFmt numFmtId="1" formatCode="0"/>
    </x:dxf>
    <x:dxf>
      <x:numFmt numFmtId="14" formatCode="0.00%"/>
    </x:dxf>
  </dxfs>
  <richProperties>
    <rPr n="NumberFormat" t="s"/>
    <rPr n="IsTitleField" t="b"/>
  </richProperties>
  <richStyles>
    <rSty dxfid="1">
      <rpv i="0" xml:space="preserve">_ [$₹-as-IN] * #,##0.00_ ;_ [$₹-as-IN] * -#,##0.00_ ;_ [$₹-as-IN] * "-"??_ ;_ @_ </rpv>
    </rSty>
    <rSty dxfid="4">
      <rpv i="0">#,##0.00</rpv>
    </rSty>
    <rSty>
      <rpv i="1">1</rpv>
    </rSty>
    <rSty dxfid="3">
      <rpv i="0">#,##0</rpv>
    </rSty>
    <rSty dxfid="6"/>
    <rSty dxfid="1">
      <rpv i="0" xml:space="preserve">_ [$₹-as-IN] * #,##0_ ;_ [$₹-as-IN] * -#,##0_ ;_ [$₹-as-IN] * "-"_ ;_ @_ </rpv>
    </rSty>
    <rSty dxfid="2"/>
    <rSty dxfid="5">
      <rpv i="0">0</rpv>
    </rSty>
    <rSty dxfid="0">
      <rpv i="0">0.00</rpv>
    </rSty>
  </richStyles>
</richStyleSheet>
</file>

<file path=xl/richData/richValueRel.xml><?xml version="1.0" encoding="utf-8"?>
<richValueRels xmlns="http://schemas.microsoft.com/office/spreadsheetml/2022/richvaluerel" xmlns:r="http://schemas.openxmlformats.org/officeDocument/2006/relationships">
  <rel r:id="rId1"/>
</richValueRel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creener.in/exce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selection activeCell="B18" sqref="B18"/>
    </sheetView>
  </sheetViews>
  <sheetFormatPr defaultColWidth="8.88671875" defaultRowHeight="14.4" x14ac:dyDescent="0.3"/>
  <cols>
    <col min="1" max="1" width="27.6640625" style="2" bestFit="1" customWidth="1"/>
    <col min="2" max="11" width="13.44140625" style="2" bestFit="1" customWidth="1"/>
    <col min="12" max="16384" width="8.88671875" style="2"/>
  </cols>
  <sheetData>
    <row r="1" spans="1:11" s="1" customFormat="1" x14ac:dyDescent="0.3">
      <c r="A1" s="1" t="s">
        <v>0</v>
      </c>
      <c r="B1" s="1" t="s">
        <v>32</v>
      </c>
      <c r="E1" s="47" t="str">
        <f>IF(B2&lt;&gt;B3, "A NEW VERSION OF THE WORKSHEET IS AVAILABLE", "")</f>
        <v/>
      </c>
      <c r="F1" s="47"/>
      <c r="G1" s="47"/>
      <c r="H1" s="47"/>
      <c r="I1" s="47"/>
      <c r="J1" s="47"/>
      <c r="K1" s="47"/>
    </row>
    <row r="2" spans="1:11" x14ac:dyDescent="0.3">
      <c r="A2" s="1" t="s">
        <v>30</v>
      </c>
      <c r="B2" s="2">
        <v>2.1</v>
      </c>
      <c r="E2" s="48" t="s">
        <v>21</v>
      </c>
      <c r="F2" s="48"/>
      <c r="G2" s="48"/>
      <c r="H2" s="48"/>
      <c r="I2" s="48"/>
      <c r="J2" s="48"/>
      <c r="K2" s="48"/>
    </row>
    <row r="3" spans="1:11" x14ac:dyDescent="0.3">
      <c r="A3" s="1" t="s">
        <v>31</v>
      </c>
      <c r="B3" s="2">
        <v>2.1</v>
      </c>
    </row>
    <row r="4" spans="1:11" x14ac:dyDescent="0.3">
      <c r="A4" s="1"/>
    </row>
    <row r="5" spans="1:11" x14ac:dyDescent="0.3">
      <c r="A5" s="1" t="s">
        <v>33</v>
      </c>
    </row>
    <row r="6" spans="1:11" x14ac:dyDescent="0.3">
      <c r="A6" s="2" t="s">
        <v>27</v>
      </c>
      <c r="B6" s="2">
        <f>IF(B9&gt;0, B9/B8, 0)</f>
        <v>1252.8765508684864</v>
      </c>
    </row>
    <row r="7" spans="1:11" x14ac:dyDescent="0.3">
      <c r="A7" s="2" t="s">
        <v>16</v>
      </c>
      <c r="B7">
        <v>1</v>
      </c>
    </row>
    <row r="8" spans="1:11" x14ac:dyDescent="0.3">
      <c r="A8" s="2" t="s">
        <v>28</v>
      </c>
      <c r="B8">
        <v>403</v>
      </c>
    </row>
    <row r="9" spans="1:11" x14ac:dyDescent="0.3">
      <c r="A9" s="2" t="s">
        <v>43</v>
      </c>
      <c r="B9">
        <v>504909.25</v>
      </c>
    </row>
    <row r="15" spans="1:11" x14ac:dyDescent="0.3">
      <c r="A15" s="1" t="s">
        <v>22</v>
      </c>
    </row>
    <row r="16" spans="1:11" s="6" customFormat="1" x14ac:dyDescent="0.3">
      <c r="A16" s="5" t="s">
        <v>23</v>
      </c>
      <c r="B16" s="4">
        <v>42460</v>
      </c>
      <c r="C16" s="4">
        <v>42825</v>
      </c>
      <c r="D16" s="4">
        <v>43190</v>
      </c>
      <c r="E16" s="4">
        <v>43555</v>
      </c>
      <c r="F16" s="4">
        <v>43921</v>
      </c>
      <c r="G16" s="4">
        <v>44286</v>
      </c>
      <c r="H16" s="4">
        <v>44651</v>
      </c>
      <c r="I16" s="4">
        <v>45016</v>
      </c>
      <c r="J16" s="4">
        <v>45382</v>
      </c>
      <c r="K16" s="4">
        <v>45747</v>
      </c>
    </row>
    <row r="17" spans="1:11" s="3" customFormat="1" x14ac:dyDescent="0.3">
      <c r="A17" s="3" t="s">
        <v>1</v>
      </c>
      <c r="B17">
        <v>39192.1</v>
      </c>
      <c r="C17">
        <v>42767.6</v>
      </c>
      <c r="D17">
        <v>43448.94</v>
      </c>
      <c r="E17">
        <v>48339.58</v>
      </c>
      <c r="F17">
        <v>49387.7</v>
      </c>
      <c r="G17">
        <v>49257.45</v>
      </c>
      <c r="H17">
        <v>60644.54</v>
      </c>
      <c r="I17">
        <v>70919.03</v>
      </c>
      <c r="J17">
        <v>67931.94</v>
      </c>
      <c r="K17">
        <v>75323.34</v>
      </c>
    </row>
    <row r="18" spans="1:11" s="3" customFormat="1" x14ac:dyDescent="0.3">
      <c r="A18" s="2" t="s">
        <v>44</v>
      </c>
      <c r="B18">
        <v>13763.88</v>
      </c>
      <c r="C18">
        <v>15456.59</v>
      </c>
      <c r="D18">
        <v>14827.72</v>
      </c>
      <c r="E18">
        <v>17623.52</v>
      </c>
      <c r="F18">
        <v>18048.599999999999</v>
      </c>
      <c r="G18">
        <v>20776.71</v>
      </c>
      <c r="H18">
        <v>27071.07</v>
      </c>
      <c r="I18">
        <v>29364.36</v>
      </c>
      <c r="J18">
        <v>27348.57</v>
      </c>
      <c r="K18">
        <v>32704.37</v>
      </c>
    </row>
    <row r="19" spans="1:11" s="3" customFormat="1" x14ac:dyDescent="0.3">
      <c r="A19" s="2" t="s">
        <v>45</v>
      </c>
      <c r="B19">
        <v>195.38</v>
      </c>
      <c r="C19">
        <v>-592.57000000000005</v>
      </c>
      <c r="D19">
        <v>-1027.76</v>
      </c>
      <c r="E19">
        <v>203.19</v>
      </c>
      <c r="F19">
        <v>703.13</v>
      </c>
      <c r="G19">
        <v>645.27</v>
      </c>
      <c r="H19">
        <v>686</v>
      </c>
      <c r="I19">
        <v>358.59</v>
      </c>
      <c r="J19">
        <v>367.77</v>
      </c>
      <c r="K19">
        <v>725.65</v>
      </c>
    </row>
    <row r="20" spans="1:11" s="3" customFormat="1" x14ac:dyDescent="0.3">
      <c r="A20" s="2" t="s">
        <v>46</v>
      </c>
      <c r="B20">
        <v>571.88</v>
      </c>
      <c r="C20">
        <v>584.33000000000004</v>
      </c>
      <c r="D20">
        <v>653.5</v>
      </c>
      <c r="E20">
        <v>746.73</v>
      </c>
      <c r="F20">
        <v>780.85</v>
      </c>
      <c r="G20">
        <v>699.56</v>
      </c>
      <c r="H20">
        <v>889.77</v>
      </c>
      <c r="I20">
        <v>1232.3399999999999</v>
      </c>
      <c r="J20">
        <v>952.9</v>
      </c>
      <c r="K20">
        <v>975.35</v>
      </c>
    </row>
    <row r="21" spans="1:11" s="3" customFormat="1" x14ac:dyDescent="0.3">
      <c r="A21" s="2" t="s">
        <v>47</v>
      </c>
      <c r="B21">
        <v>1581.59</v>
      </c>
      <c r="C21">
        <v>1683.9</v>
      </c>
      <c r="D21">
        <v>1697.62</v>
      </c>
      <c r="E21">
        <v>1871.01</v>
      </c>
      <c r="F21">
        <v>1908.29</v>
      </c>
      <c r="G21">
        <v>1587.18</v>
      </c>
      <c r="H21">
        <v>1887.67</v>
      </c>
      <c r="I21">
        <v>2327.8000000000002</v>
      </c>
      <c r="J21">
        <v>2183.7600000000002</v>
      </c>
      <c r="K21">
        <v>2345.36</v>
      </c>
    </row>
    <row r="22" spans="1:11" s="3" customFormat="1" x14ac:dyDescent="0.3">
      <c r="A22" s="2" t="s">
        <v>48</v>
      </c>
      <c r="B22">
        <v>3440.97</v>
      </c>
      <c r="C22">
        <v>3631.73</v>
      </c>
      <c r="D22">
        <v>3760.9</v>
      </c>
      <c r="E22">
        <v>4177.88</v>
      </c>
      <c r="F22">
        <v>4295.79</v>
      </c>
      <c r="G22">
        <v>4463.33</v>
      </c>
      <c r="H22">
        <v>4890.55</v>
      </c>
      <c r="I22">
        <v>5736.22</v>
      </c>
      <c r="J22">
        <v>5548.53</v>
      </c>
      <c r="K22">
        <v>6169.78</v>
      </c>
    </row>
    <row r="23" spans="1:11" s="3" customFormat="1" x14ac:dyDescent="0.3">
      <c r="A23" s="2" t="s">
        <v>49</v>
      </c>
      <c r="B23">
        <v>4261.78</v>
      </c>
      <c r="C23">
        <v>4179.74</v>
      </c>
      <c r="D23">
        <v>3954.87</v>
      </c>
      <c r="E23">
        <v>4546.3900000000003</v>
      </c>
      <c r="F23">
        <v>4488.63</v>
      </c>
      <c r="G23">
        <v>4236.7700000000004</v>
      </c>
      <c r="H23">
        <v>4858.38</v>
      </c>
      <c r="I23">
        <v>5604.08</v>
      </c>
      <c r="J23">
        <v>5312.45</v>
      </c>
      <c r="K23">
        <v>5793.29</v>
      </c>
    </row>
    <row r="24" spans="1:11" s="3" customFormat="1" x14ac:dyDescent="0.3">
      <c r="A24" s="2" t="s">
        <v>50</v>
      </c>
      <c r="B24">
        <v>1235.8900000000001</v>
      </c>
      <c r="C24">
        <v>1169.23</v>
      </c>
      <c r="D24">
        <v>1005.98</v>
      </c>
      <c r="E24">
        <v>1039.8499999999999</v>
      </c>
      <c r="F24">
        <v>1225.1300000000001</v>
      </c>
      <c r="G24">
        <v>1074.3900000000001</v>
      </c>
      <c r="H24">
        <v>1109.95</v>
      </c>
      <c r="I24">
        <v>1308.56</v>
      </c>
      <c r="J24">
        <v>1765.97</v>
      </c>
      <c r="K24">
        <v>2221.39</v>
      </c>
    </row>
    <row r="25" spans="1:11" s="3" customFormat="1" x14ac:dyDescent="0.3">
      <c r="A25" s="3" t="s">
        <v>4</v>
      </c>
      <c r="B25">
        <v>1483.11</v>
      </c>
      <c r="C25">
        <v>1758.63</v>
      </c>
      <c r="D25">
        <v>2239.81</v>
      </c>
      <c r="E25">
        <v>2080.44</v>
      </c>
      <c r="F25">
        <v>2417.3200000000002</v>
      </c>
      <c r="G25">
        <v>2576.9499999999998</v>
      </c>
      <c r="H25">
        <v>1909.72</v>
      </c>
      <c r="I25">
        <v>2097.64</v>
      </c>
      <c r="J25">
        <v>3330.45</v>
      </c>
      <c r="K25">
        <v>17794.88</v>
      </c>
    </row>
    <row r="26" spans="1:11" s="3" customFormat="1" x14ac:dyDescent="0.3">
      <c r="A26" s="3" t="s">
        <v>5</v>
      </c>
      <c r="B26">
        <v>1077.4000000000001</v>
      </c>
      <c r="C26">
        <v>1152.79</v>
      </c>
      <c r="D26">
        <v>1236.28</v>
      </c>
      <c r="E26">
        <v>1396.61</v>
      </c>
      <c r="F26">
        <v>1644.91</v>
      </c>
      <c r="G26">
        <v>1645.59</v>
      </c>
      <c r="H26">
        <v>1732.41</v>
      </c>
      <c r="I26">
        <v>1809.01</v>
      </c>
      <c r="J26">
        <v>1518.05</v>
      </c>
      <c r="K26">
        <v>1646.32</v>
      </c>
    </row>
    <row r="27" spans="1:11" s="3" customFormat="1" x14ac:dyDescent="0.3">
      <c r="A27" s="3" t="s">
        <v>6</v>
      </c>
      <c r="B27">
        <v>78.13</v>
      </c>
      <c r="C27">
        <v>49.03</v>
      </c>
      <c r="D27">
        <v>115.01</v>
      </c>
      <c r="E27">
        <v>71.400000000000006</v>
      </c>
      <c r="F27">
        <v>81.38</v>
      </c>
      <c r="G27">
        <v>57.97</v>
      </c>
      <c r="H27">
        <v>59.99</v>
      </c>
      <c r="I27">
        <v>77.77</v>
      </c>
      <c r="J27">
        <v>39.11</v>
      </c>
      <c r="K27">
        <v>45.06</v>
      </c>
    </row>
    <row r="28" spans="1:11" s="3" customFormat="1" x14ac:dyDescent="0.3">
      <c r="A28" s="3" t="s">
        <v>7</v>
      </c>
      <c r="B28">
        <v>14859.07</v>
      </c>
      <c r="C28">
        <v>16026.32</v>
      </c>
      <c r="D28">
        <v>17409.11</v>
      </c>
      <c r="E28">
        <v>19149.82</v>
      </c>
      <c r="F28">
        <v>20034.57</v>
      </c>
      <c r="G28">
        <v>17938.169999999998</v>
      </c>
      <c r="H28">
        <v>20740.47</v>
      </c>
      <c r="I28">
        <v>25915.119999999999</v>
      </c>
      <c r="J28">
        <v>26960.82</v>
      </c>
      <c r="K28">
        <v>41942.949999999997</v>
      </c>
    </row>
    <row r="29" spans="1:11" s="3" customFormat="1" x14ac:dyDescent="0.3">
      <c r="A29" s="3" t="s">
        <v>8</v>
      </c>
      <c r="B29">
        <v>5358.21</v>
      </c>
      <c r="C29">
        <v>5549.09</v>
      </c>
      <c r="D29">
        <v>5916.43</v>
      </c>
      <c r="E29">
        <v>6313.92</v>
      </c>
      <c r="F29">
        <v>4441.79</v>
      </c>
      <c r="G29">
        <v>4555.29</v>
      </c>
      <c r="H29">
        <v>5237.34</v>
      </c>
      <c r="I29">
        <v>6438.4</v>
      </c>
      <c r="J29">
        <v>6209.46</v>
      </c>
      <c r="K29">
        <v>6890.47</v>
      </c>
    </row>
    <row r="30" spans="1:11" s="3" customFormat="1" x14ac:dyDescent="0.3">
      <c r="A30" s="3" t="s">
        <v>9</v>
      </c>
      <c r="B30">
        <v>9344.4500000000007</v>
      </c>
      <c r="C30">
        <v>10289.44</v>
      </c>
      <c r="D30">
        <v>11271.2</v>
      </c>
      <c r="E30">
        <v>12592.33</v>
      </c>
      <c r="F30">
        <v>15306.23</v>
      </c>
      <c r="G30">
        <v>13161.19</v>
      </c>
      <c r="H30">
        <v>15242.66</v>
      </c>
      <c r="I30">
        <v>19191.66</v>
      </c>
      <c r="J30">
        <v>20458.78</v>
      </c>
      <c r="K30">
        <v>34746.629999999997</v>
      </c>
    </row>
    <row r="31" spans="1:11" s="3" customFormat="1" x14ac:dyDescent="0.3">
      <c r="A31" s="3" t="s">
        <v>34</v>
      </c>
      <c r="B31">
        <v>6840.12</v>
      </c>
      <c r="C31">
        <v>5770.02</v>
      </c>
      <c r="D31">
        <v>6285.21</v>
      </c>
      <c r="E31">
        <v>7048.7</v>
      </c>
      <c r="F31">
        <v>12476.58</v>
      </c>
      <c r="G31">
        <v>13231.96</v>
      </c>
      <c r="H31">
        <v>14171.8</v>
      </c>
      <c r="I31">
        <v>19263.400000000001</v>
      </c>
      <c r="J31">
        <v>17166.46</v>
      </c>
      <c r="K31">
        <v>17957.73</v>
      </c>
    </row>
    <row r="32" spans="1:11" s="3" customFormat="1" x14ac:dyDescent="0.3"/>
    <row r="33" spans="1:11" x14ac:dyDescent="0.3">
      <c r="A33" s="3"/>
    </row>
    <row r="34" spans="1:11" x14ac:dyDescent="0.3">
      <c r="A34" s="3"/>
    </row>
    <row r="35" spans="1:11" x14ac:dyDescent="0.3">
      <c r="A35" s="3"/>
    </row>
    <row r="36" spans="1:11" x14ac:dyDescent="0.3">
      <c r="A36" s="3"/>
    </row>
    <row r="37" spans="1:11" x14ac:dyDescent="0.3">
      <c r="A37" s="3"/>
    </row>
    <row r="38" spans="1:11" x14ac:dyDescent="0.3">
      <c r="A38" s="3"/>
    </row>
    <row r="39" spans="1:11" x14ac:dyDescent="0.3">
      <c r="A39" s="3"/>
    </row>
    <row r="40" spans="1:11" x14ac:dyDescent="0.3">
      <c r="A40" s="1" t="s">
        <v>24</v>
      </c>
    </row>
    <row r="41" spans="1:11" s="6" customFormat="1" x14ac:dyDescent="0.3">
      <c r="A41" s="5" t="s">
        <v>23</v>
      </c>
      <c r="B41" s="4">
        <v>45107</v>
      </c>
      <c r="C41" s="4">
        <v>45199</v>
      </c>
      <c r="D41" s="4">
        <v>45291</v>
      </c>
      <c r="E41" s="4">
        <v>45382</v>
      </c>
      <c r="F41" s="4">
        <v>45473</v>
      </c>
      <c r="G41" s="4">
        <v>45565</v>
      </c>
      <c r="H41" s="4">
        <v>45657</v>
      </c>
      <c r="I41" s="4">
        <v>45747</v>
      </c>
      <c r="J41" s="4">
        <v>45838</v>
      </c>
      <c r="K41" s="4">
        <v>45930</v>
      </c>
    </row>
    <row r="42" spans="1:11" s="3" customFormat="1" x14ac:dyDescent="0.3">
      <c r="A42" s="3" t="s">
        <v>1</v>
      </c>
      <c r="B42">
        <v>17164.46</v>
      </c>
      <c r="C42">
        <v>17774.47</v>
      </c>
      <c r="D42">
        <v>17195.240000000002</v>
      </c>
      <c r="E42">
        <v>17037.8</v>
      </c>
      <c r="F42">
        <v>17777.810000000001</v>
      </c>
      <c r="G42">
        <v>19990.36</v>
      </c>
      <c r="H42">
        <v>18790.169999999998</v>
      </c>
      <c r="I42">
        <v>18765</v>
      </c>
      <c r="J42">
        <v>21494.79</v>
      </c>
      <c r="K42">
        <v>19501.63</v>
      </c>
    </row>
    <row r="43" spans="1:11" s="3" customFormat="1" x14ac:dyDescent="0.3">
      <c r="A43" s="3" t="s">
        <v>2</v>
      </c>
      <c r="B43">
        <v>10494.39</v>
      </c>
      <c r="C43">
        <v>11320.23</v>
      </c>
      <c r="D43">
        <v>10985.01</v>
      </c>
      <c r="E43">
        <v>10735.73</v>
      </c>
      <c r="F43">
        <v>11232.97</v>
      </c>
      <c r="G43">
        <v>13438.28</v>
      </c>
      <c r="H43">
        <v>12428.27</v>
      </c>
      <c r="I43">
        <v>12245.61</v>
      </c>
      <c r="J43">
        <v>14678.32</v>
      </c>
      <c r="K43">
        <v>12806.94</v>
      </c>
    </row>
    <row r="44" spans="1:11" s="3" customFormat="1" x14ac:dyDescent="0.3">
      <c r="A44" s="3" t="s">
        <v>4</v>
      </c>
      <c r="B44">
        <v>722.3</v>
      </c>
      <c r="C44">
        <v>673.5</v>
      </c>
      <c r="D44">
        <v>820.26</v>
      </c>
      <c r="E44">
        <v>868</v>
      </c>
      <c r="F44">
        <v>771.13</v>
      </c>
      <c r="G44">
        <v>690.31</v>
      </c>
      <c r="H44">
        <v>803.4</v>
      </c>
      <c r="I44">
        <v>15391.28</v>
      </c>
      <c r="J44">
        <v>750.97</v>
      </c>
      <c r="K44">
        <v>738.84</v>
      </c>
    </row>
    <row r="45" spans="1:11" s="3" customFormat="1" x14ac:dyDescent="0.3">
      <c r="A45" s="3" t="s">
        <v>5</v>
      </c>
      <c r="B45">
        <v>442.46</v>
      </c>
      <c r="C45">
        <v>453.04</v>
      </c>
      <c r="D45">
        <v>384.04</v>
      </c>
      <c r="E45">
        <v>385.09</v>
      </c>
      <c r="F45">
        <v>403.13</v>
      </c>
      <c r="G45">
        <v>416.18</v>
      </c>
      <c r="H45">
        <v>415.98</v>
      </c>
      <c r="I45">
        <v>411.03</v>
      </c>
      <c r="J45">
        <v>422.96</v>
      </c>
      <c r="K45">
        <v>434.8</v>
      </c>
    </row>
    <row r="46" spans="1:11" s="3" customFormat="1" x14ac:dyDescent="0.3">
      <c r="A46" s="3" t="s">
        <v>6</v>
      </c>
      <c r="B46">
        <v>9.9</v>
      </c>
      <c r="C46">
        <v>9.8699999999999992</v>
      </c>
      <c r="D46">
        <v>11.94</v>
      </c>
      <c r="E46">
        <v>10.72</v>
      </c>
      <c r="F46">
        <v>9.6</v>
      </c>
      <c r="G46">
        <v>14.73</v>
      </c>
      <c r="H46">
        <v>9.82</v>
      </c>
      <c r="I46">
        <v>10.91</v>
      </c>
      <c r="J46">
        <v>16.47</v>
      </c>
      <c r="K46">
        <v>20.05</v>
      </c>
    </row>
    <row r="47" spans="1:11" s="3" customFormat="1" x14ac:dyDescent="0.3">
      <c r="A47" s="3" t="s">
        <v>7</v>
      </c>
      <c r="B47">
        <v>6940.01</v>
      </c>
      <c r="C47">
        <v>6664.83</v>
      </c>
      <c r="D47">
        <v>6634.51</v>
      </c>
      <c r="E47">
        <v>6774.26</v>
      </c>
      <c r="F47">
        <v>6903.24</v>
      </c>
      <c r="G47">
        <v>6811.48</v>
      </c>
      <c r="H47">
        <v>6739.5</v>
      </c>
      <c r="I47">
        <v>21488.73</v>
      </c>
      <c r="J47">
        <v>7128.01</v>
      </c>
      <c r="K47">
        <v>6978.68</v>
      </c>
    </row>
    <row r="48" spans="1:11" s="3" customFormat="1" x14ac:dyDescent="0.3">
      <c r="A48" s="3" t="s">
        <v>8</v>
      </c>
      <c r="B48">
        <v>1759.89</v>
      </c>
      <c r="C48">
        <v>1700.31</v>
      </c>
      <c r="D48">
        <v>1227.99</v>
      </c>
      <c r="E48">
        <v>1583.55</v>
      </c>
      <c r="F48">
        <v>1726.25</v>
      </c>
      <c r="G48">
        <v>1757.05</v>
      </c>
      <c r="H48">
        <v>1726.32</v>
      </c>
      <c r="I48">
        <v>1680.85</v>
      </c>
      <c r="J48">
        <v>1784.6</v>
      </c>
      <c r="K48">
        <v>1792.13</v>
      </c>
    </row>
    <row r="49" spans="1:11" s="3" customFormat="1" x14ac:dyDescent="0.3">
      <c r="A49" s="3" t="s">
        <v>9</v>
      </c>
      <c r="B49">
        <v>5104.93</v>
      </c>
      <c r="C49">
        <v>4898.07</v>
      </c>
      <c r="D49">
        <v>5335.23</v>
      </c>
      <c r="E49">
        <v>5120.55</v>
      </c>
      <c r="F49">
        <v>5091.59</v>
      </c>
      <c r="G49">
        <v>4992.87</v>
      </c>
      <c r="H49">
        <v>4934.8</v>
      </c>
      <c r="I49">
        <v>19727.37</v>
      </c>
      <c r="J49">
        <v>5244.2</v>
      </c>
      <c r="K49">
        <v>5126.1099999999997</v>
      </c>
    </row>
    <row r="50" spans="1:11" x14ac:dyDescent="0.3">
      <c r="A50" s="3" t="s">
        <v>3</v>
      </c>
      <c r="B50">
        <v>6670.07</v>
      </c>
      <c r="C50">
        <v>6454.24</v>
      </c>
      <c r="D50">
        <v>6210.23</v>
      </c>
      <c r="E50">
        <v>6302.07</v>
      </c>
      <c r="F50">
        <v>6544.84</v>
      </c>
      <c r="G50">
        <v>6552.08</v>
      </c>
      <c r="H50">
        <v>6361.9</v>
      </c>
      <c r="I50">
        <v>6519.39</v>
      </c>
      <c r="J50">
        <v>6816.47</v>
      </c>
      <c r="K50">
        <v>6694.69</v>
      </c>
    </row>
    <row r="51" spans="1:11" x14ac:dyDescent="0.3">
      <c r="A51" s="3"/>
    </row>
    <row r="52" spans="1:11" x14ac:dyDescent="0.3">
      <c r="A52" s="3"/>
    </row>
    <row r="53" spans="1:11" x14ac:dyDescent="0.3">
      <c r="A53" s="3"/>
    </row>
    <row r="54" spans="1:11" x14ac:dyDescent="0.3">
      <c r="A54" s="3"/>
    </row>
    <row r="55" spans="1:11" x14ac:dyDescent="0.3">
      <c r="A55" s="1" t="s">
        <v>25</v>
      </c>
    </row>
    <row r="56" spans="1:11" s="6" customFormat="1" x14ac:dyDescent="0.3">
      <c r="A56" s="5" t="s">
        <v>23</v>
      </c>
      <c r="B56" s="4">
        <v>42460</v>
      </c>
      <c r="C56" s="4">
        <v>42825</v>
      </c>
      <c r="D56" s="4">
        <v>43190</v>
      </c>
      <c r="E56" s="4">
        <v>43555</v>
      </c>
      <c r="F56" s="4">
        <v>43921</v>
      </c>
      <c r="G56" s="4">
        <v>44286</v>
      </c>
      <c r="H56" s="4">
        <v>44651</v>
      </c>
      <c r="I56" s="4">
        <v>45016</v>
      </c>
      <c r="J56" s="4">
        <v>45382</v>
      </c>
      <c r="K56" s="4">
        <v>45747</v>
      </c>
    </row>
    <row r="57" spans="1:11" x14ac:dyDescent="0.3">
      <c r="A57" s="3" t="s">
        <v>10</v>
      </c>
      <c r="B57">
        <v>804.72</v>
      </c>
      <c r="C57">
        <v>1214.74</v>
      </c>
      <c r="D57">
        <v>1220.43</v>
      </c>
      <c r="E57">
        <v>1225.8599999999999</v>
      </c>
      <c r="F57">
        <v>1229.22</v>
      </c>
      <c r="G57">
        <v>1230.8800000000001</v>
      </c>
      <c r="H57">
        <v>1232.33</v>
      </c>
      <c r="I57">
        <v>1242.8</v>
      </c>
      <c r="J57">
        <v>1248.47</v>
      </c>
      <c r="K57">
        <v>1251.4100000000001</v>
      </c>
    </row>
    <row r="58" spans="1:11" x14ac:dyDescent="0.3">
      <c r="A58" s="3" t="s">
        <v>11</v>
      </c>
      <c r="B58">
        <v>41874.800000000003</v>
      </c>
      <c r="C58">
        <v>45198.19</v>
      </c>
      <c r="D58">
        <v>51289.68</v>
      </c>
      <c r="E58">
        <v>57915.01</v>
      </c>
      <c r="F58">
        <v>64044.04</v>
      </c>
      <c r="G58">
        <v>59116.46</v>
      </c>
      <c r="H58">
        <v>61223.24</v>
      </c>
      <c r="I58">
        <v>67912.460000000006</v>
      </c>
      <c r="J58">
        <v>73258.53</v>
      </c>
      <c r="K58">
        <v>68778.64</v>
      </c>
    </row>
    <row r="59" spans="1:11" x14ac:dyDescent="0.3">
      <c r="A59" s="3" t="s">
        <v>35</v>
      </c>
      <c r="B59">
        <v>83.78</v>
      </c>
      <c r="C59">
        <v>45.72</v>
      </c>
      <c r="D59">
        <v>35.92</v>
      </c>
      <c r="E59">
        <v>13.44</v>
      </c>
      <c r="F59">
        <v>277.45</v>
      </c>
      <c r="G59">
        <v>270.83</v>
      </c>
      <c r="H59">
        <v>249.44</v>
      </c>
      <c r="I59">
        <v>306.04000000000002</v>
      </c>
      <c r="J59">
        <v>303.43</v>
      </c>
      <c r="K59">
        <v>284.54000000000002</v>
      </c>
    </row>
    <row r="60" spans="1:11" x14ac:dyDescent="0.3">
      <c r="A60" s="3" t="s">
        <v>36</v>
      </c>
      <c r="B60">
        <v>8888.0400000000009</v>
      </c>
      <c r="C60">
        <v>9439.67</v>
      </c>
      <c r="D60">
        <v>11694.85</v>
      </c>
      <c r="E60">
        <v>12584.73</v>
      </c>
      <c r="F60">
        <v>11760.04</v>
      </c>
      <c r="G60">
        <v>13142.59</v>
      </c>
      <c r="H60">
        <v>14491.01</v>
      </c>
      <c r="I60">
        <v>16369.66</v>
      </c>
      <c r="J60">
        <v>16943.54</v>
      </c>
      <c r="K60">
        <v>17688.11</v>
      </c>
    </row>
    <row r="61" spans="1:11" s="1" customFormat="1" x14ac:dyDescent="0.3">
      <c r="A61" s="1" t="s">
        <v>12</v>
      </c>
      <c r="B61">
        <v>51651.34</v>
      </c>
      <c r="C61">
        <v>55898.32</v>
      </c>
      <c r="D61">
        <v>64240.88</v>
      </c>
      <c r="E61">
        <v>71739.039999999994</v>
      </c>
      <c r="F61">
        <v>77310.75</v>
      </c>
      <c r="G61">
        <v>73760.759999999995</v>
      </c>
      <c r="H61">
        <v>77196.02</v>
      </c>
      <c r="I61">
        <v>85830.96</v>
      </c>
      <c r="J61">
        <v>91753.97</v>
      </c>
      <c r="K61">
        <v>88002.7</v>
      </c>
    </row>
    <row r="62" spans="1:11" x14ac:dyDescent="0.3">
      <c r="A62" s="3" t="s">
        <v>13</v>
      </c>
      <c r="B62">
        <v>15106.63</v>
      </c>
      <c r="C62">
        <v>15893.48</v>
      </c>
      <c r="D62">
        <v>16523.96</v>
      </c>
      <c r="E62">
        <v>19374.189999999999</v>
      </c>
      <c r="F62">
        <v>21713.34</v>
      </c>
      <c r="G62">
        <v>23298.48</v>
      </c>
      <c r="H62">
        <v>24231.59</v>
      </c>
      <c r="I62">
        <v>25851.27</v>
      </c>
      <c r="J62">
        <v>27820.22</v>
      </c>
      <c r="K62">
        <v>21954.85</v>
      </c>
    </row>
    <row r="63" spans="1:11" x14ac:dyDescent="0.3">
      <c r="A63" s="3" t="s">
        <v>14</v>
      </c>
      <c r="B63">
        <v>2559.7199999999998</v>
      </c>
      <c r="C63">
        <v>3729.89</v>
      </c>
      <c r="D63">
        <v>5508.33</v>
      </c>
      <c r="E63">
        <v>4136.42</v>
      </c>
      <c r="F63">
        <v>3256.46</v>
      </c>
      <c r="G63">
        <v>4011.29</v>
      </c>
      <c r="H63">
        <v>3225.54</v>
      </c>
      <c r="I63">
        <v>3003.3</v>
      </c>
      <c r="J63">
        <v>2860.78</v>
      </c>
      <c r="K63">
        <v>1090.9100000000001</v>
      </c>
    </row>
    <row r="64" spans="1:11" x14ac:dyDescent="0.3">
      <c r="A64" s="3" t="s">
        <v>15</v>
      </c>
      <c r="B64">
        <v>11747.59</v>
      </c>
      <c r="C64">
        <v>17581.38</v>
      </c>
      <c r="D64">
        <v>22052.86</v>
      </c>
      <c r="E64">
        <v>25043.49</v>
      </c>
      <c r="F64">
        <v>28663.35</v>
      </c>
      <c r="G64">
        <v>24870.87</v>
      </c>
      <c r="H64">
        <v>24841.01</v>
      </c>
      <c r="I64">
        <v>29415.02</v>
      </c>
      <c r="J64">
        <v>31114.02</v>
      </c>
      <c r="K64">
        <v>34719.82</v>
      </c>
    </row>
    <row r="65" spans="1:11" x14ac:dyDescent="0.3">
      <c r="A65" s="3" t="s">
        <v>37</v>
      </c>
      <c r="B65">
        <v>22237.4</v>
      </c>
      <c r="C65">
        <v>18693.57</v>
      </c>
      <c r="D65">
        <v>20155.73</v>
      </c>
      <c r="E65">
        <v>23184.94</v>
      </c>
      <c r="F65">
        <v>23677.599999999999</v>
      </c>
      <c r="G65">
        <v>21580.12</v>
      </c>
      <c r="H65">
        <v>24897.88</v>
      </c>
      <c r="I65">
        <v>27561.37</v>
      </c>
      <c r="J65">
        <v>29958.95</v>
      </c>
      <c r="K65">
        <v>30237.119999999999</v>
      </c>
    </row>
    <row r="66" spans="1:11" s="1" customFormat="1" x14ac:dyDescent="0.3">
      <c r="A66" s="1" t="s">
        <v>12</v>
      </c>
      <c r="B66">
        <v>51651.34</v>
      </c>
      <c r="C66">
        <v>55898.32</v>
      </c>
      <c r="D66">
        <v>64240.88</v>
      </c>
      <c r="E66">
        <v>71739.039999999994</v>
      </c>
      <c r="F66">
        <v>77310.75</v>
      </c>
      <c r="G66">
        <v>73760.759999999995</v>
      </c>
      <c r="H66">
        <v>77196.02</v>
      </c>
      <c r="I66">
        <v>85830.96</v>
      </c>
      <c r="J66">
        <v>91753.97</v>
      </c>
      <c r="K66">
        <v>88002.7</v>
      </c>
    </row>
    <row r="67" spans="1:11" s="3" customFormat="1" x14ac:dyDescent="0.3">
      <c r="A67" s="3" t="s">
        <v>42</v>
      </c>
      <c r="B67">
        <v>1917.18</v>
      </c>
      <c r="C67">
        <v>2474.29</v>
      </c>
      <c r="D67">
        <v>2682.29</v>
      </c>
      <c r="E67">
        <v>4035.28</v>
      </c>
      <c r="F67">
        <v>2562.48</v>
      </c>
      <c r="G67">
        <v>2501.6999999999998</v>
      </c>
      <c r="H67">
        <v>2461.9</v>
      </c>
      <c r="I67">
        <v>2956.17</v>
      </c>
      <c r="J67">
        <v>4025.82</v>
      </c>
      <c r="K67">
        <v>4719.67</v>
      </c>
    </row>
    <row r="68" spans="1:11" x14ac:dyDescent="0.3">
      <c r="A68" s="3" t="s">
        <v>29</v>
      </c>
      <c r="B68">
        <v>9062.1</v>
      </c>
      <c r="C68">
        <v>8116.1</v>
      </c>
      <c r="D68">
        <v>7495.09</v>
      </c>
      <c r="E68">
        <v>7859.56</v>
      </c>
      <c r="F68">
        <v>8879.33</v>
      </c>
      <c r="G68">
        <v>10397.16</v>
      </c>
      <c r="H68">
        <v>10864.15</v>
      </c>
      <c r="I68">
        <v>11771.16</v>
      </c>
      <c r="J68">
        <v>14152.88</v>
      </c>
      <c r="K68">
        <v>15637.56</v>
      </c>
    </row>
    <row r="69" spans="1:11" x14ac:dyDescent="0.3">
      <c r="A69" s="2" t="s">
        <v>51</v>
      </c>
      <c r="B69">
        <v>6063.3</v>
      </c>
      <c r="C69">
        <v>2967.4</v>
      </c>
      <c r="D69">
        <v>2899.6</v>
      </c>
      <c r="E69">
        <v>4152.03</v>
      </c>
      <c r="F69">
        <v>7277.34</v>
      </c>
      <c r="G69">
        <v>4659.0200000000004</v>
      </c>
      <c r="H69">
        <v>4654.42</v>
      </c>
      <c r="I69">
        <v>4880.1899999999996</v>
      </c>
      <c r="J69">
        <v>7217.68</v>
      </c>
      <c r="K69">
        <v>4012.36</v>
      </c>
    </row>
    <row r="70" spans="1:11" x14ac:dyDescent="0.3">
      <c r="A70" s="2" t="s">
        <v>38</v>
      </c>
      <c r="B70">
        <v>8047206991</v>
      </c>
      <c r="C70">
        <v>12147383071</v>
      </c>
      <c r="D70">
        <v>12204294911</v>
      </c>
      <c r="E70">
        <v>12258631601</v>
      </c>
      <c r="F70">
        <v>12292231241</v>
      </c>
      <c r="G70">
        <v>12308844231</v>
      </c>
      <c r="H70">
        <v>12323255931</v>
      </c>
      <c r="I70">
        <v>12428017741</v>
      </c>
      <c r="J70">
        <v>12484700000</v>
      </c>
      <c r="K70">
        <v>12514119781</v>
      </c>
    </row>
    <row r="71" spans="1:11" x14ac:dyDescent="0.3">
      <c r="A71" s="2" t="s">
        <v>39</v>
      </c>
      <c r="C71">
        <v>4026657100</v>
      </c>
    </row>
    <row r="72" spans="1:11" x14ac:dyDescent="0.3">
      <c r="A72" s="2" t="s">
        <v>52</v>
      </c>
      <c r="B72">
        <v>1</v>
      </c>
      <c r="C72">
        <v>1</v>
      </c>
      <c r="D72">
        <v>1</v>
      </c>
      <c r="E72">
        <v>1</v>
      </c>
      <c r="F72">
        <v>1</v>
      </c>
      <c r="G72">
        <v>1</v>
      </c>
      <c r="H72">
        <v>1</v>
      </c>
      <c r="I72">
        <v>1</v>
      </c>
      <c r="J72">
        <v>1</v>
      </c>
      <c r="K72">
        <v>1</v>
      </c>
    </row>
    <row r="74" spans="1:11" x14ac:dyDescent="0.3">
      <c r="A74" s="3"/>
    </row>
    <row r="75" spans="1:11" x14ac:dyDescent="0.3">
      <c r="A75" s="3"/>
    </row>
    <row r="76" spans="1:11" x14ac:dyDescent="0.3">
      <c r="A76" s="3"/>
    </row>
    <row r="77" spans="1:11" x14ac:dyDescent="0.3">
      <c r="A77" s="3"/>
    </row>
    <row r="78" spans="1:11" x14ac:dyDescent="0.3">
      <c r="A78" s="3"/>
    </row>
    <row r="79" spans="1:11" x14ac:dyDescent="0.3">
      <c r="A79" s="3"/>
    </row>
    <row r="80" spans="1:11" x14ac:dyDescent="0.3">
      <c r="A80" s="1" t="s">
        <v>26</v>
      </c>
    </row>
    <row r="81" spans="1:11" s="6" customFormat="1" x14ac:dyDescent="0.3">
      <c r="A81" s="5" t="s">
        <v>23</v>
      </c>
      <c r="B81" s="4">
        <v>42460</v>
      </c>
      <c r="C81" s="4">
        <v>42825</v>
      </c>
      <c r="D81" s="4">
        <v>43190</v>
      </c>
      <c r="E81" s="4">
        <v>43555</v>
      </c>
      <c r="F81" s="4">
        <v>43921</v>
      </c>
      <c r="G81" s="4">
        <v>44286</v>
      </c>
      <c r="H81" s="4">
        <v>44651</v>
      </c>
      <c r="I81" s="4">
        <v>45016</v>
      </c>
      <c r="J81" s="4">
        <v>45382</v>
      </c>
      <c r="K81" s="4">
        <v>45747</v>
      </c>
    </row>
    <row r="82" spans="1:11" s="1" customFormat="1" x14ac:dyDescent="0.3">
      <c r="A82" s="3" t="s">
        <v>17</v>
      </c>
      <c r="B82">
        <v>9799.0400000000009</v>
      </c>
      <c r="C82">
        <v>10627.31</v>
      </c>
      <c r="D82">
        <v>13169.4</v>
      </c>
      <c r="E82">
        <v>12583.41</v>
      </c>
      <c r="F82">
        <v>14689.66</v>
      </c>
      <c r="G82">
        <v>12526.97</v>
      </c>
      <c r="H82">
        <v>15775.51</v>
      </c>
      <c r="I82">
        <v>18877.55</v>
      </c>
      <c r="J82">
        <v>17178.86</v>
      </c>
      <c r="K82">
        <v>17627.04</v>
      </c>
    </row>
    <row r="83" spans="1:11" s="3" customFormat="1" x14ac:dyDescent="0.3">
      <c r="A83" s="3" t="s">
        <v>18</v>
      </c>
      <c r="B83">
        <v>-3920.73</v>
      </c>
      <c r="C83">
        <v>-3250.93</v>
      </c>
      <c r="D83">
        <v>-7113.89</v>
      </c>
      <c r="E83">
        <v>-5545.68</v>
      </c>
      <c r="F83">
        <v>-6174.02</v>
      </c>
      <c r="G83">
        <v>5739.98</v>
      </c>
      <c r="H83">
        <v>-2238.4899999999998</v>
      </c>
      <c r="I83">
        <v>-5732.29</v>
      </c>
      <c r="J83">
        <v>1562.77</v>
      </c>
      <c r="K83">
        <v>-563.84</v>
      </c>
    </row>
    <row r="84" spans="1:11" s="3" customFormat="1" x14ac:dyDescent="0.3">
      <c r="A84" s="3" t="s">
        <v>19</v>
      </c>
      <c r="B84">
        <v>-5612.52</v>
      </c>
      <c r="C84">
        <v>-7301.03</v>
      </c>
      <c r="D84">
        <v>-6221.13</v>
      </c>
      <c r="E84">
        <v>-6868.64</v>
      </c>
      <c r="F84">
        <v>-8181.48</v>
      </c>
      <c r="G84">
        <v>-18633.830000000002</v>
      </c>
      <c r="H84">
        <v>-13580.5</v>
      </c>
      <c r="I84">
        <v>-13006.03</v>
      </c>
      <c r="J84">
        <v>-18550.96</v>
      </c>
      <c r="K84">
        <v>-17037.400000000001</v>
      </c>
    </row>
    <row r="85" spans="1:11" s="1" customFormat="1" x14ac:dyDescent="0.3">
      <c r="A85" s="3" t="s">
        <v>20</v>
      </c>
      <c r="B85">
        <v>265.79000000000002</v>
      </c>
      <c r="C85">
        <v>75.349999999999994</v>
      </c>
      <c r="D85">
        <v>-165.62</v>
      </c>
      <c r="E85">
        <v>169.09</v>
      </c>
      <c r="F85">
        <v>334.16</v>
      </c>
      <c r="G85">
        <v>-366.88</v>
      </c>
      <c r="H85">
        <v>-43.48</v>
      </c>
      <c r="I85">
        <v>139.22999999999999</v>
      </c>
      <c r="J85">
        <v>190.67</v>
      </c>
      <c r="K85">
        <v>25.8</v>
      </c>
    </row>
    <row r="86" spans="1:11" x14ac:dyDescent="0.3">
      <c r="A86" s="3"/>
    </row>
    <row r="87" spans="1:11" x14ac:dyDescent="0.3">
      <c r="A87" s="3"/>
    </row>
    <row r="88" spans="1:11" x14ac:dyDescent="0.3">
      <c r="A88" s="3"/>
    </row>
    <row r="89" spans="1:11" x14ac:dyDescent="0.3">
      <c r="A89" s="3"/>
    </row>
    <row r="90" spans="1:11" s="1" customFormat="1" x14ac:dyDescent="0.3">
      <c r="A90" s="1" t="s">
        <v>41</v>
      </c>
      <c r="B90">
        <v>205.13</v>
      </c>
      <c r="C90">
        <v>262.75</v>
      </c>
      <c r="D90">
        <v>239.5</v>
      </c>
      <c r="E90">
        <v>278.64</v>
      </c>
      <c r="F90">
        <v>160.94999999999999</v>
      </c>
      <c r="G90">
        <v>204.82</v>
      </c>
      <c r="H90">
        <v>234.96</v>
      </c>
      <c r="I90">
        <v>359.49</v>
      </c>
      <c r="J90">
        <v>401.53</v>
      </c>
      <c r="K90">
        <v>409.75</v>
      </c>
    </row>
    <row r="92" spans="1:11" s="1" customFormat="1" x14ac:dyDescent="0.3">
      <c r="A92" s="1" t="s">
        <v>40</v>
      </c>
    </row>
    <row r="93" spans="1:11" x14ac:dyDescent="0.3">
      <c r="A93" s="2" t="s">
        <v>53</v>
      </c>
      <c r="B93" s="7">
        <v>1207.08</v>
      </c>
      <c r="C93" s="7">
        <v>1214.74</v>
      </c>
      <c r="D93" s="7">
        <v>1220.43</v>
      </c>
      <c r="E93" s="7">
        <v>1225.8599999999999</v>
      </c>
      <c r="F93" s="7">
        <v>1229.22</v>
      </c>
      <c r="G93" s="7">
        <v>1230.8800000000001</v>
      </c>
      <c r="H93" s="7">
        <v>1232.33</v>
      </c>
      <c r="I93" s="7">
        <v>1242.8</v>
      </c>
      <c r="J93" s="7">
        <v>1248.47</v>
      </c>
      <c r="K93" s="7">
        <v>1251.4100000000001</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FE2E7-9198-4DE2-86F9-FC3703663941}">
  <dimension ref="B2:M72"/>
  <sheetViews>
    <sheetView topLeftCell="A50" workbookViewId="0">
      <selection activeCell="B39" sqref="B39"/>
    </sheetView>
  </sheetViews>
  <sheetFormatPr defaultRowHeight="14.4" x14ac:dyDescent="0.3"/>
  <cols>
    <col min="1" max="1" width="1.88671875" customWidth="1"/>
    <col min="2" max="13" width="10.6640625" customWidth="1"/>
  </cols>
  <sheetData>
    <row r="2" spans="2:13" x14ac:dyDescent="0.3">
      <c r="B2" s="49" t="str">
        <f>"Historical Financial Statement - "&amp;'Data Sheet'!B1</f>
        <v>Historical Financial Statement - ITC LTD</v>
      </c>
      <c r="C2" s="49"/>
      <c r="D2" s="49"/>
      <c r="E2" s="49"/>
      <c r="F2" s="49"/>
      <c r="G2" s="49"/>
      <c r="H2" s="49"/>
      <c r="I2" s="49"/>
      <c r="J2" s="49"/>
      <c r="K2" s="49"/>
      <c r="L2" s="49"/>
      <c r="M2" s="49"/>
    </row>
    <row r="3" spans="2:13" x14ac:dyDescent="0.3">
      <c r="B3" s="8" t="s">
        <v>54</v>
      </c>
      <c r="C3" s="8"/>
      <c r="D3" s="9">
        <f>'Data Sheet'!B16</f>
        <v>42460</v>
      </c>
      <c r="E3" s="9">
        <f>'Data Sheet'!C16</f>
        <v>42825</v>
      </c>
      <c r="F3" s="9">
        <f>'Data Sheet'!D16</f>
        <v>43190</v>
      </c>
      <c r="G3" s="9">
        <f>'Data Sheet'!E16</f>
        <v>43555</v>
      </c>
      <c r="H3" s="9">
        <f>'Data Sheet'!F16</f>
        <v>43921</v>
      </c>
      <c r="I3" s="9">
        <f>'Data Sheet'!G16</f>
        <v>44286</v>
      </c>
      <c r="J3" s="9">
        <f>'Data Sheet'!H16</f>
        <v>44651</v>
      </c>
      <c r="K3" s="9">
        <f>'Data Sheet'!I16</f>
        <v>45016</v>
      </c>
      <c r="L3" s="9">
        <f>'Data Sheet'!J16</f>
        <v>45382</v>
      </c>
      <c r="M3" s="9">
        <f>'Data Sheet'!K16</f>
        <v>45747</v>
      </c>
    </row>
    <row r="5" spans="2:13" x14ac:dyDescent="0.3">
      <c r="B5" s="44" t="str">
        <f>"Income Statement - "&amp;'Data Sheet'!B1</f>
        <v>Income Statement - ITC LTD</v>
      </c>
      <c r="C5" s="44"/>
      <c r="D5" s="44"/>
      <c r="E5" s="44"/>
      <c r="F5" s="44"/>
      <c r="G5" s="44"/>
      <c r="H5" s="44"/>
      <c r="I5" s="44"/>
      <c r="J5" s="44"/>
      <c r="K5" s="44"/>
      <c r="L5" s="44"/>
      <c r="M5" s="44"/>
    </row>
    <row r="6" spans="2:13" x14ac:dyDescent="0.3">
      <c r="B6" t="s">
        <v>1</v>
      </c>
      <c r="D6">
        <f>'Data Sheet'!B17</f>
        <v>39192.1</v>
      </c>
      <c r="E6">
        <f>'Data Sheet'!C17</f>
        <v>42767.6</v>
      </c>
      <c r="F6">
        <f>'Data Sheet'!D17</f>
        <v>43448.94</v>
      </c>
      <c r="G6">
        <f>'Data Sheet'!E17</f>
        <v>48339.58</v>
      </c>
      <c r="H6">
        <f>'Data Sheet'!F17</f>
        <v>49387.7</v>
      </c>
      <c r="I6">
        <f>'Data Sheet'!G17</f>
        <v>49257.45</v>
      </c>
      <c r="J6">
        <f>'Data Sheet'!H17</f>
        <v>60644.54</v>
      </c>
      <c r="K6">
        <f>'Data Sheet'!I17</f>
        <v>70919.03</v>
      </c>
      <c r="L6">
        <f>'Data Sheet'!J17</f>
        <v>67931.94</v>
      </c>
      <c r="M6">
        <f>'Data Sheet'!K17</f>
        <v>75323.34</v>
      </c>
    </row>
    <row r="7" spans="2:13" x14ac:dyDescent="0.3">
      <c r="B7" s="10" t="s">
        <v>55</v>
      </c>
      <c r="D7" s="41" t="s">
        <v>81</v>
      </c>
      <c r="E7" s="42">
        <f>(E6/D6)-1</f>
        <v>9.1230120355888067E-2</v>
      </c>
      <c r="F7" s="42">
        <f t="shared" ref="F7:M7" si="0">(F6/E6)-1</f>
        <v>1.5931218960147486E-2</v>
      </c>
      <c r="G7" s="42">
        <f t="shared" si="0"/>
        <v>0.11256062863673999</v>
      </c>
      <c r="H7" s="42">
        <f t="shared" si="0"/>
        <v>2.1682439110972673E-2</v>
      </c>
      <c r="I7" s="42">
        <f t="shared" si="0"/>
        <v>-2.6372963308678443E-3</v>
      </c>
      <c r="J7" s="42">
        <f t="shared" si="0"/>
        <v>0.23117497962237188</v>
      </c>
      <c r="K7" s="42">
        <f t="shared" si="0"/>
        <v>0.1694215175842706</v>
      </c>
      <c r="L7" s="42">
        <f t="shared" si="0"/>
        <v>-4.2119724423754779E-2</v>
      </c>
      <c r="M7" s="42">
        <f t="shared" si="0"/>
        <v>0.10880596078957838</v>
      </c>
    </row>
    <row r="9" spans="2:13" x14ac:dyDescent="0.3">
      <c r="B9" s="11" t="s">
        <v>56</v>
      </c>
      <c r="C9" s="11"/>
      <c r="D9">
        <f>('Data Sheet'!B18+'Data Sheet'!B20+'Data Sheet'!B21+'Data Sheet'!B22)-'Data Sheet'!B19</f>
        <v>19162.939999999999</v>
      </c>
      <c r="E9">
        <f>('Data Sheet'!C18+'Data Sheet'!C20+'Data Sheet'!C21+'Data Sheet'!C22)-'Data Sheet'!C19</f>
        <v>21949.119999999999</v>
      </c>
      <c r="F9">
        <f>('Data Sheet'!D18+'Data Sheet'!D20+'Data Sheet'!D21+'Data Sheet'!D22)-'Data Sheet'!D19</f>
        <v>21967.5</v>
      </c>
      <c r="G9">
        <f>('Data Sheet'!E18+'Data Sheet'!E20+'Data Sheet'!E21+'Data Sheet'!E22)-'Data Sheet'!E19</f>
        <v>24215.95</v>
      </c>
      <c r="H9">
        <f>('Data Sheet'!F18+'Data Sheet'!F20+'Data Sheet'!F21+'Data Sheet'!F22)-'Data Sheet'!F19</f>
        <v>24330.399999999998</v>
      </c>
      <c r="I9">
        <f>('Data Sheet'!G18+'Data Sheet'!G20+'Data Sheet'!G21+'Data Sheet'!G22)-'Data Sheet'!G19</f>
        <v>26881.51</v>
      </c>
      <c r="J9">
        <f>('Data Sheet'!H18+'Data Sheet'!H20+'Data Sheet'!H21+'Data Sheet'!H22)-'Data Sheet'!H19</f>
        <v>34053.060000000005</v>
      </c>
      <c r="K9">
        <f>('Data Sheet'!I18+'Data Sheet'!I20+'Data Sheet'!I21+'Data Sheet'!I22)-'Data Sheet'!I19</f>
        <v>38302.130000000005</v>
      </c>
      <c r="L9">
        <f>('Data Sheet'!J18+'Data Sheet'!J20+'Data Sheet'!J21+'Data Sheet'!J22)-'Data Sheet'!J19</f>
        <v>35665.990000000005</v>
      </c>
      <c r="M9">
        <f>('Data Sheet'!K18+'Data Sheet'!K20+'Data Sheet'!K21+'Data Sheet'!K22)-'Data Sheet'!K19</f>
        <v>41469.21</v>
      </c>
    </row>
    <row r="10" spans="2:13" x14ac:dyDescent="0.3">
      <c r="B10" s="10" t="s">
        <v>57</v>
      </c>
      <c r="D10" s="41">
        <f>D9/D6</f>
        <v>0.48894904840516329</v>
      </c>
      <c r="E10" s="42">
        <f t="shared" ref="E10:M10" si="1">E9/E6</f>
        <v>0.51321841768067411</v>
      </c>
      <c r="F10" s="42">
        <f t="shared" si="1"/>
        <v>0.50559346211898382</v>
      </c>
      <c r="G10" s="42">
        <f t="shared" si="1"/>
        <v>0.50095491106873502</v>
      </c>
      <c r="H10" s="42">
        <f t="shared" si="1"/>
        <v>0.49264088021916386</v>
      </c>
      <c r="I10" s="42">
        <f t="shared" si="1"/>
        <v>0.54573490913557243</v>
      </c>
      <c r="J10" s="42">
        <f t="shared" si="1"/>
        <v>0.56151897598695621</v>
      </c>
      <c r="K10" s="42">
        <f t="shared" si="1"/>
        <v>0.54008254202010386</v>
      </c>
      <c r="L10" s="42">
        <f t="shared" si="1"/>
        <v>0.52502534154037117</v>
      </c>
      <c r="M10" s="42">
        <f t="shared" si="1"/>
        <v>0.55054927197864567</v>
      </c>
    </row>
    <row r="12" spans="2:13" x14ac:dyDescent="0.3">
      <c r="B12" s="12" t="s">
        <v>58</v>
      </c>
      <c r="C12" s="12"/>
      <c r="D12" s="12">
        <f>D6-D9</f>
        <v>20029.16</v>
      </c>
      <c r="E12" s="12">
        <f t="shared" ref="E12:M12" si="2">E6-E9</f>
        <v>20818.48</v>
      </c>
      <c r="F12" s="12">
        <f t="shared" si="2"/>
        <v>21481.440000000002</v>
      </c>
      <c r="G12" s="12">
        <f t="shared" si="2"/>
        <v>24123.63</v>
      </c>
      <c r="H12" s="12">
        <f t="shared" si="2"/>
        <v>25057.3</v>
      </c>
      <c r="I12" s="12">
        <f t="shared" si="2"/>
        <v>22375.94</v>
      </c>
      <c r="J12" s="12">
        <f t="shared" si="2"/>
        <v>26591.479999999996</v>
      </c>
      <c r="K12" s="12">
        <f t="shared" si="2"/>
        <v>32616.899999999994</v>
      </c>
      <c r="L12" s="12">
        <f t="shared" si="2"/>
        <v>32265.949999999997</v>
      </c>
      <c r="M12" s="12">
        <f t="shared" si="2"/>
        <v>33854.129999999997</v>
      </c>
    </row>
    <row r="13" spans="2:13" x14ac:dyDescent="0.3">
      <c r="B13" s="10" t="s">
        <v>59</v>
      </c>
      <c r="D13" s="41">
        <f>D12/D6</f>
        <v>0.51105095159483671</v>
      </c>
      <c r="E13" s="42">
        <f t="shared" ref="E13:M13" si="3">E12/E6</f>
        <v>0.48678158231932583</v>
      </c>
      <c r="F13" s="42">
        <f t="shared" si="3"/>
        <v>0.49440653788101624</v>
      </c>
      <c r="G13" s="42">
        <f t="shared" si="3"/>
        <v>0.49904508893126504</v>
      </c>
      <c r="H13" s="42">
        <f t="shared" si="3"/>
        <v>0.50735911978083614</v>
      </c>
      <c r="I13" s="42">
        <f t="shared" si="3"/>
        <v>0.45426509086442762</v>
      </c>
      <c r="J13" s="42">
        <f t="shared" si="3"/>
        <v>0.43848102401304379</v>
      </c>
      <c r="K13" s="42">
        <f t="shared" si="3"/>
        <v>0.45991745797989614</v>
      </c>
      <c r="L13" s="42">
        <f t="shared" si="3"/>
        <v>0.47497465845962877</v>
      </c>
      <c r="M13" s="42">
        <f t="shared" si="3"/>
        <v>0.44945072802135433</v>
      </c>
    </row>
    <row r="14" spans="2:13" x14ac:dyDescent="0.3">
      <c r="D14" s="14"/>
    </row>
    <row r="15" spans="2:13" x14ac:dyDescent="0.3">
      <c r="B15" s="11" t="s">
        <v>60</v>
      </c>
      <c r="C15" s="11"/>
      <c r="D15">
        <f>('Data Sheet'!B23+'Data Sheet'!B24)</f>
        <v>5497.67</v>
      </c>
      <c r="E15">
        <f>('Data Sheet'!C23+'Data Sheet'!C24)</f>
        <v>5348.9699999999993</v>
      </c>
      <c r="F15">
        <f>('Data Sheet'!D23+'Data Sheet'!D24)</f>
        <v>4960.8500000000004</v>
      </c>
      <c r="G15">
        <f>('Data Sheet'!E23+'Data Sheet'!E24)</f>
        <v>5586.24</v>
      </c>
      <c r="H15">
        <f>('Data Sheet'!F23+'Data Sheet'!F24)</f>
        <v>5713.76</v>
      </c>
      <c r="I15">
        <f>('Data Sheet'!G23+'Data Sheet'!G24)</f>
        <v>5311.1600000000008</v>
      </c>
      <c r="J15">
        <f>('Data Sheet'!H23+'Data Sheet'!H24)</f>
        <v>5968.33</v>
      </c>
      <c r="K15">
        <f>('Data Sheet'!I23+'Data Sheet'!I24)</f>
        <v>6912.6399999999994</v>
      </c>
      <c r="L15">
        <f>('Data Sheet'!J23+'Data Sheet'!J24)</f>
        <v>7078.42</v>
      </c>
      <c r="M15">
        <f>('Data Sheet'!K23+'Data Sheet'!K24)</f>
        <v>8014.68</v>
      </c>
    </row>
    <row r="16" spans="2:13" x14ac:dyDescent="0.3">
      <c r="B16" s="10" t="s">
        <v>61</v>
      </c>
      <c r="D16" s="41">
        <f>D15/D6</f>
        <v>0.14027495337070481</v>
      </c>
      <c r="E16" s="42">
        <f t="shared" ref="E16:M16" si="4">E15/E6</f>
        <v>0.12507061420327537</v>
      </c>
      <c r="F16" s="42">
        <f t="shared" si="4"/>
        <v>0.11417654838069698</v>
      </c>
      <c r="G16" s="42">
        <f t="shared" si="4"/>
        <v>0.11556244386070379</v>
      </c>
      <c r="H16" s="42">
        <f t="shared" si="4"/>
        <v>0.11569196378855465</v>
      </c>
      <c r="I16" s="42">
        <f t="shared" si="4"/>
        <v>0.10782450167436604</v>
      </c>
      <c r="J16" s="42">
        <f t="shared" si="4"/>
        <v>9.8414960357519399E-2</v>
      </c>
      <c r="K16" s="42">
        <f t="shared" si="4"/>
        <v>9.7472286352478302E-2</v>
      </c>
      <c r="L16" s="42">
        <f t="shared" si="4"/>
        <v>0.10419870240714456</v>
      </c>
      <c r="M16" s="42">
        <f t="shared" si="4"/>
        <v>0.10640367248717331</v>
      </c>
    </row>
    <row r="18" spans="2:13" x14ac:dyDescent="0.3">
      <c r="B18" s="12" t="s">
        <v>62</v>
      </c>
      <c r="C18" s="12"/>
      <c r="D18" s="12">
        <f>D12-D15</f>
        <v>14531.49</v>
      </c>
      <c r="E18" s="12">
        <f t="shared" ref="E18:M18" si="5">E12-E15</f>
        <v>15469.51</v>
      </c>
      <c r="F18" s="12">
        <f t="shared" si="5"/>
        <v>16520.590000000004</v>
      </c>
      <c r="G18" s="12">
        <f t="shared" si="5"/>
        <v>18537.39</v>
      </c>
      <c r="H18" s="12">
        <f t="shared" si="5"/>
        <v>19343.54</v>
      </c>
      <c r="I18" s="12">
        <f t="shared" si="5"/>
        <v>17064.78</v>
      </c>
      <c r="J18" s="12">
        <f t="shared" si="5"/>
        <v>20623.149999999994</v>
      </c>
      <c r="K18" s="12">
        <f t="shared" si="5"/>
        <v>25704.259999999995</v>
      </c>
      <c r="L18" s="12">
        <f t="shared" si="5"/>
        <v>25187.53</v>
      </c>
      <c r="M18" s="12">
        <f t="shared" si="5"/>
        <v>25839.449999999997</v>
      </c>
    </row>
    <row r="19" spans="2:13" x14ac:dyDescent="0.3">
      <c r="B19" s="10" t="s">
        <v>63</v>
      </c>
      <c r="D19" s="41">
        <f>D18/D6</f>
        <v>0.37077599822413193</v>
      </c>
      <c r="E19" s="42">
        <f t="shared" ref="E19:M19" si="6">E18/E6</f>
        <v>0.36171096811605047</v>
      </c>
      <c r="F19" s="42">
        <f t="shared" si="6"/>
        <v>0.38022998950031928</v>
      </c>
      <c r="G19" s="42">
        <f t="shared" si="6"/>
        <v>0.38348264507056118</v>
      </c>
      <c r="H19" s="42">
        <f t="shared" si="6"/>
        <v>0.39166715599228152</v>
      </c>
      <c r="I19" s="42">
        <f t="shared" si="6"/>
        <v>0.3464405891900616</v>
      </c>
      <c r="J19" s="42">
        <f t="shared" si="6"/>
        <v>0.34006606365552439</v>
      </c>
      <c r="K19" s="42">
        <f t="shared" si="6"/>
        <v>0.36244517162741785</v>
      </c>
      <c r="L19" s="42">
        <f t="shared" si="6"/>
        <v>0.37077595605248426</v>
      </c>
      <c r="M19" s="42">
        <f t="shared" si="6"/>
        <v>0.34304705553418102</v>
      </c>
    </row>
    <row r="21" spans="2:13" x14ac:dyDescent="0.3">
      <c r="B21" s="11" t="s">
        <v>6</v>
      </c>
      <c r="C21" s="11"/>
      <c r="D21">
        <f>'Data Sheet'!B27</f>
        <v>78.13</v>
      </c>
      <c r="E21">
        <f>'Data Sheet'!C27</f>
        <v>49.03</v>
      </c>
      <c r="F21">
        <f>'Data Sheet'!D27</f>
        <v>115.01</v>
      </c>
      <c r="G21">
        <f>'Data Sheet'!E27</f>
        <v>71.400000000000006</v>
      </c>
      <c r="H21">
        <f>'Data Sheet'!F27</f>
        <v>81.38</v>
      </c>
      <c r="I21">
        <f>'Data Sheet'!G27</f>
        <v>57.97</v>
      </c>
      <c r="J21">
        <f>'Data Sheet'!H27</f>
        <v>59.99</v>
      </c>
      <c r="K21">
        <f>'Data Sheet'!I27</f>
        <v>77.77</v>
      </c>
      <c r="L21">
        <f>'Data Sheet'!J27</f>
        <v>39.11</v>
      </c>
      <c r="M21">
        <f>'Data Sheet'!K27</f>
        <v>45.06</v>
      </c>
    </row>
    <row r="22" spans="2:13" x14ac:dyDescent="0.3">
      <c r="B22" s="10" t="s">
        <v>64</v>
      </c>
      <c r="D22" s="42">
        <f>D21/D6</f>
        <v>1.9935139989946953E-3</v>
      </c>
      <c r="E22" s="42">
        <f t="shared" ref="E22:M22" si="7">E21/E6</f>
        <v>1.146428604831695E-3</v>
      </c>
      <c r="F22" s="42">
        <f t="shared" si="7"/>
        <v>2.647015094039118E-3</v>
      </c>
      <c r="G22" s="42">
        <f t="shared" si="7"/>
        <v>1.4770504832685763E-3</v>
      </c>
      <c r="H22" s="42">
        <f t="shared" si="7"/>
        <v>1.647778697934911E-3</v>
      </c>
      <c r="I22" s="42">
        <f t="shared" si="7"/>
        <v>1.1768778123918311E-3</v>
      </c>
      <c r="J22" s="42">
        <f t="shared" si="7"/>
        <v>9.8920694262006107E-4</v>
      </c>
      <c r="K22" s="42">
        <f t="shared" si="7"/>
        <v>1.0966027031108574E-3</v>
      </c>
      <c r="L22" s="42">
        <f t="shared" si="7"/>
        <v>5.7572329010477244E-4</v>
      </c>
      <c r="M22" s="42">
        <f t="shared" si="7"/>
        <v>5.9822094984104534E-4</v>
      </c>
    </row>
    <row r="24" spans="2:13" x14ac:dyDescent="0.3">
      <c r="B24" s="11" t="s">
        <v>5</v>
      </c>
      <c r="C24" s="11"/>
      <c r="D24">
        <f>'Data Sheet'!B26</f>
        <v>1077.4000000000001</v>
      </c>
      <c r="E24">
        <f>'Data Sheet'!C26</f>
        <v>1152.79</v>
      </c>
      <c r="F24">
        <f>'Data Sheet'!D26</f>
        <v>1236.28</v>
      </c>
      <c r="G24">
        <f>'Data Sheet'!E26</f>
        <v>1396.61</v>
      </c>
      <c r="H24">
        <f>'Data Sheet'!F26</f>
        <v>1644.91</v>
      </c>
      <c r="I24">
        <f>'Data Sheet'!G26</f>
        <v>1645.59</v>
      </c>
      <c r="J24">
        <f>'Data Sheet'!H26</f>
        <v>1732.41</v>
      </c>
      <c r="K24">
        <f>'Data Sheet'!I26</f>
        <v>1809.01</v>
      </c>
      <c r="L24">
        <f>'Data Sheet'!J26</f>
        <v>1518.05</v>
      </c>
      <c r="M24">
        <f>'Data Sheet'!K26</f>
        <v>1646.32</v>
      </c>
    </row>
    <row r="25" spans="2:13" x14ac:dyDescent="0.3">
      <c r="B25" s="10" t="s">
        <v>65</v>
      </c>
      <c r="D25" s="42">
        <f>D24/D6</f>
        <v>2.7490234001240049E-2</v>
      </c>
      <c r="E25" s="42">
        <f t="shared" ref="E25:M25" si="8">E24/E6</f>
        <v>2.6954750792656124E-2</v>
      </c>
      <c r="F25" s="42">
        <f t="shared" si="8"/>
        <v>2.845362855802696E-2</v>
      </c>
      <c r="G25" s="42">
        <f t="shared" si="8"/>
        <v>2.8891645314253867E-2</v>
      </c>
      <c r="H25" s="42">
        <f t="shared" si="8"/>
        <v>3.3306066085280348E-2</v>
      </c>
      <c r="I25" s="42">
        <f t="shared" si="8"/>
        <v>3.3407941336792708E-2</v>
      </c>
      <c r="J25" s="42">
        <f t="shared" si="8"/>
        <v>2.8566627762367396E-2</v>
      </c>
      <c r="K25" s="42">
        <f t="shared" si="8"/>
        <v>2.550810410125463E-2</v>
      </c>
      <c r="L25" s="42">
        <f t="shared" si="8"/>
        <v>2.2346631054552542E-2</v>
      </c>
      <c r="M25" s="42">
        <f t="shared" si="8"/>
        <v>2.1856704707996222E-2</v>
      </c>
    </row>
    <row r="27" spans="2:13" x14ac:dyDescent="0.3">
      <c r="B27" s="12" t="s">
        <v>131</v>
      </c>
      <c r="C27" s="12"/>
      <c r="D27" s="12">
        <f>D18-(D21+D24)</f>
        <v>13375.96</v>
      </c>
      <c r="E27" s="12">
        <f t="shared" ref="E27:M27" si="9">E18-(E21+E24)</f>
        <v>14267.69</v>
      </c>
      <c r="F27" s="12">
        <f t="shared" si="9"/>
        <v>15169.300000000003</v>
      </c>
      <c r="G27" s="12">
        <f t="shared" si="9"/>
        <v>17069.38</v>
      </c>
      <c r="H27" s="12">
        <f t="shared" si="9"/>
        <v>17617.25</v>
      </c>
      <c r="I27" s="12">
        <f t="shared" si="9"/>
        <v>15361.22</v>
      </c>
      <c r="J27" s="12">
        <f t="shared" si="9"/>
        <v>18830.749999999993</v>
      </c>
      <c r="K27" s="12">
        <f t="shared" si="9"/>
        <v>23817.479999999996</v>
      </c>
      <c r="L27" s="12">
        <f t="shared" si="9"/>
        <v>23630.37</v>
      </c>
      <c r="M27" s="12">
        <f t="shared" si="9"/>
        <v>24148.069999999996</v>
      </c>
    </row>
    <row r="28" spans="2:13" x14ac:dyDescent="0.3">
      <c r="B28" s="10" t="s">
        <v>67</v>
      </c>
      <c r="D28" s="42">
        <f>D27/D6</f>
        <v>0.34129225022389714</v>
      </c>
      <c r="E28" s="42">
        <f t="shared" ref="E28:M28" si="10">E27/E6</f>
        <v>0.33360978871856267</v>
      </c>
      <c r="F28" s="42">
        <f t="shared" si="10"/>
        <v>0.34912934584825317</v>
      </c>
      <c r="G28" s="42">
        <f t="shared" si="10"/>
        <v>0.3531139492730388</v>
      </c>
      <c r="H28" s="42">
        <f t="shared" si="10"/>
        <v>0.35671331120906624</v>
      </c>
      <c r="I28" s="42">
        <f t="shared" si="10"/>
        <v>0.31185577004087706</v>
      </c>
      <c r="J28" s="42">
        <f t="shared" si="10"/>
        <v>0.31051022895053687</v>
      </c>
      <c r="K28" s="42">
        <f t="shared" si="10"/>
        <v>0.33584046482305235</v>
      </c>
      <c r="L28" s="42">
        <f t="shared" si="10"/>
        <v>0.34785360170782698</v>
      </c>
      <c r="M28" s="42">
        <f t="shared" si="10"/>
        <v>0.32059212987634372</v>
      </c>
    </row>
    <row r="30" spans="2:13" x14ac:dyDescent="0.3">
      <c r="B30" s="11" t="s">
        <v>8</v>
      </c>
      <c r="C30" s="11"/>
      <c r="D30">
        <f>'Data Sheet'!B29</f>
        <v>5358.21</v>
      </c>
      <c r="E30">
        <f>'Data Sheet'!C29</f>
        <v>5549.09</v>
      </c>
      <c r="F30">
        <f>'Data Sheet'!D29</f>
        <v>5916.43</v>
      </c>
      <c r="G30">
        <f>'Data Sheet'!E29</f>
        <v>6313.92</v>
      </c>
      <c r="H30">
        <f>'Data Sheet'!F29</f>
        <v>4441.79</v>
      </c>
      <c r="I30">
        <f>'Data Sheet'!G29</f>
        <v>4555.29</v>
      </c>
      <c r="J30">
        <f>'Data Sheet'!H29</f>
        <v>5237.34</v>
      </c>
      <c r="K30">
        <f>'Data Sheet'!I29</f>
        <v>6438.4</v>
      </c>
      <c r="L30">
        <f>'Data Sheet'!J29</f>
        <v>6209.46</v>
      </c>
      <c r="M30">
        <f>'Data Sheet'!K29</f>
        <v>6890.47</v>
      </c>
    </row>
    <row r="31" spans="2:13" x14ac:dyDescent="0.3">
      <c r="B31" s="10" t="s">
        <v>68</v>
      </c>
      <c r="D31" s="42">
        <f>D30/D27</f>
        <v>0.40058507950083588</v>
      </c>
      <c r="E31" s="42">
        <f t="shared" ref="E31:M31" si="11">E30/E27</f>
        <v>0.3889270092075171</v>
      </c>
      <c r="F31" s="42">
        <f t="shared" si="11"/>
        <v>0.3900265668158715</v>
      </c>
      <c r="G31" s="42">
        <f t="shared" si="11"/>
        <v>0.36989744208635578</v>
      </c>
      <c r="H31" s="42">
        <f t="shared" si="11"/>
        <v>0.25212731839532276</v>
      </c>
      <c r="I31" s="42">
        <f t="shared" si="11"/>
        <v>0.29654480568600672</v>
      </c>
      <c r="J31" s="42">
        <f t="shared" si="11"/>
        <v>0.27812699972120081</v>
      </c>
      <c r="K31" s="42">
        <f t="shared" si="11"/>
        <v>0.27032246904374435</v>
      </c>
      <c r="L31" s="42">
        <f t="shared" si="11"/>
        <v>0.2627745566404589</v>
      </c>
      <c r="M31" s="42">
        <f t="shared" si="11"/>
        <v>0.28534247250401384</v>
      </c>
    </row>
    <row r="33" spans="2:13" x14ac:dyDescent="0.3">
      <c r="B33" s="12" t="s">
        <v>69</v>
      </c>
      <c r="C33" s="12"/>
      <c r="D33" s="12">
        <f>D27-D30</f>
        <v>8017.7499999999991</v>
      </c>
      <c r="E33" s="12">
        <f t="shared" ref="E33:M33" si="12">E27-E30</f>
        <v>8718.6</v>
      </c>
      <c r="F33" s="12">
        <f t="shared" si="12"/>
        <v>9252.8700000000026</v>
      </c>
      <c r="G33" s="12">
        <f t="shared" si="12"/>
        <v>10755.460000000001</v>
      </c>
      <c r="H33" s="12">
        <f t="shared" si="12"/>
        <v>13175.46</v>
      </c>
      <c r="I33" s="12">
        <f t="shared" si="12"/>
        <v>10805.93</v>
      </c>
      <c r="J33" s="12">
        <f t="shared" si="12"/>
        <v>13593.409999999993</v>
      </c>
      <c r="K33" s="12">
        <f t="shared" si="12"/>
        <v>17379.079999999994</v>
      </c>
      <c r="L33" s="12">
        <f t="shared" si="12"/>
        <v>17420.91</v>
      </c>
      <c r="M33" s="12">
        <f t="shared" si="12"/>
        <v>17257.599999999995</v>
      </c>
    </row>
    <row r="34" spans="2:13" x14ac:dyDescent="0.3">
      <c r="B34" s="10" t="s">
        <v>70</v>
      </c>
      <c r="D34" s="42">
        <f>D33/D6</f>
        <v>0.20457566703493815</v>
      </c>
      <c r="E34" s="42">
        <f t="shared" ref="E34:M34" si="13">E33/E6</f>
        <v>0.20385993134990041</v>
      </c>
      <c r="F34" s="42">
        <f t="shared" si="13"/>
        <v>0.21295962571238797</v>
      </c>
      <c r="G34" s="42">
        <f t="shared" si="13"/>
        <v>0.22249800267193054</v>
      </c>
      <c r="H34" s="42">
        <f t="shared" si="13"/>
        <v>0.26677614061800814</v>
      </c>
      <c r="I34" s="42">
        <f t="shared" si="13"/>
        <v>0.21937656131204519</v>
      </c>
      <c r="J34" s="42">
        <f t="shared" si="13"/>
        <v>0.2241489505897809</v>
      </c>
      <c r="K34" s="42">
        <f t="shared" si="13"/>
        <v>0.24505524116728605</v>
      </c>
      <c r="L34" s="42">
        <f t="shared" si="13"/>
        <v>0.25644652574326599</v>
      </c>
      <c r="M34" s="42">
        <f t="shared" si="13"/>
        <v>0.22911357887209988</v>
      </c>
    </row>
    <row r="36" spans="2:13" x14ac:dyDescent="0.3">
      <c r="B36" s="11" t="s">
        <v>38</v>
      </c>
      <c r="C36" s="11"/>
      <c r="D36" s="21">
        <f>'Data Sheet'!B93</f>
        <v>1207.08</v>
      </c>
      <c r="E36" s="21">
        <f>'Data Sheet'!C93</f>
        <v>1214.74</v>
      </c>
      <c r="F36" s="21">
        <f>'Data Sheet'!D93</f>
        <v>1220.43</v>
      </c>
      <c r="G36" s="21">
        <f>'Data Sheet'!E93</f>
        <v>1225.8599999999999</v>
      </c>
      <c r="H36" s="21">
        <f>'Data Sheet'!F93</f>
        <v>1229.22</v>
      </c>
      <c r="I36" s="21">
        <f>'Data Sheet'!G93</f>
        <v>1230.8800000000001</v>
      </c>
      <c r="J36" s="21">
        <f>'Data Sheet'!H93</f>
        <v>1232.33</v>
      </c>
      <c r="K36" s="21">
        <f>'Data Sheet'!I93</f>
        <v>1242.8</v>
      </c>
      <c r="L36" s="21">
        <f>'Data Sheet'!J93</f>
        <v>1248.47</v>
      </c>
      <c r="M36" s="21">
        <f>'Data Sheet'!K93</f>
        <v>1251.4100000000001</v>
      </c>
    </row>
    <row r="38" spans="2:13" x14ac:dyDescent="0.3">
      <c r="B38" s="11" t="s">
        <v>71</v>
      </c>
      <c r="C38" s="11"/>
      <c r="D38" s="21">
        <f>D33/D36</f>
        <v>6.6422689465486959</v>
      </c>
      <c r="E38" s="21">
        <f t="shared" ref="E38:M38" si="14">E33/E36</f>
        <v>7.1773383604722003</v>
      </c>
      <c r="F38" s="21">
        <f t="shared" si="14"/>
        <v>7.5816474521275303</v>
      </c>
      <c r="G38" s="21">
        <f t="shared" si="14"/>
        <v>8.7738077757655866</v>
      </c>
      <c r="H38" s="21">
        <f t="shared" si="14"/>
        <v>10.718553228876848</v>
      </c>
      <c r="I38" s="21">
        <f t="shared" si="14"/>
        <v>8.7790280124788769</v>
      </c>
      <c r="J38" s="21">
        <f t="shared" si="14"/>
        <v>11.030657372619341</v>
      </c>
      <c r="K38" s="21">
        <f t="shared" si="14"/>
        <v>13.983810749919533</v>
      </c>
      <c r="L38" s="21">
        <f t="shared" si="14"/>
        <v>13.953807460331445</v>
      </c>
      <c r="M38" s="21">
        <f t="shared" si="14"/>
        <v>13.790524288602452</v>
      </c>
    </row>
    <row r="39" spans="2:13" x14ac:dyDescent="0.3">
      <c r="B39" s="10" t="s">
        <v>72</v>
      </c>
      <c r="D39" s="42" t="s">
        <v>81</v>
      </c>
      <c r="E39" s="42">
        <f>E38/D38-1</f>
        <v>8.0555216632943516E-2</v>
      </c>
      <c r="F39" s="42">
        <f t="shared" ref="F39:M39" si="15">F38/E38-1</f>
        <v>5.633134058190481E-2</v>
      </c>
      <c r="G39" s="42">
        <f t="shared" si="15"/>
        <v>0.15724291206702268</v>
      </c>
      <c r="H39" s="42">
        <f t="shared" si="15"/>
        <v>0.22165352864042731</v>
      </c>
      <c r="I39" s="42">
        <f t="shared" si="15"/>
        <v>-0.18095028078721465</v>
      </c>
      <c r="J39" s="42">
        <f t="shared" si="15"/>
        <v>0.25647820657821163</v>
      </c>
      <c r="K39" s="42">
        <f t="shared" si="15"/>
        <v>0.26772233762156428</v>
      </c>
      <c r="L39" s="42">
        <f t="shared" si="15"/>
        <v>-2.1455732006571138E-3</v>
      </c>
      <c r="M39" s="42">
        <f t="shared" si="15"/>
        <v>-1.1701693046373363E-2</v>
      </c>
    </row>
    <row r="41" spans="2:13" x14ac:dyDescent="0.3">
      <c r="B41" s="11" t="s">
        <v>73</v>
      </c>
      <c r="C41" s="11"/>
      <c r="D41" s="21">
        <f>'Data Sheet'!B31/'Historical Financial Statement'!D36</f>
        <v>5.666666666666667</v>
      </c>
      <c r="E41" s="21">
        <f>'Data Sheet'!C31/'Historical Financial Statement'!E36</f>
        <v>4.7500041161071511</v>
      </c>
      <c r="F41" s="21">
        <f>'Data Sheet'!D31/'Historical Financial Statement'!F36</f>
        <v>5.1499963127750057</v>
      </c>
      <c r="G41" s="21">
        <f>'Data Sheet'!E31/'Historical Financial Statement'!G36</f>
        <v>5.7500040787691908</v>
      </c>
      <c r="H41" s="21">
        <f>'Data Sheet'!F31/'Historical Financial Statement'!H36</f>
        <v>10.149997559427929</v>
      </c>
      <c r="I41" s="21">
        <f>'Data Sheet'!G31/'Historical Financial Statement'!I36</f>
        <v>10.749999999999998</v>
      </c>
      <c r="J41" s="21">
        <f>'Data Sheet'!H31/'Historical Financial Statement'!J36</f>
        <v>11.500004057354767</v>
      </c>
      <c r="K41" s="21">
        <f>'Data Sheet'!I31/'Historical Financial Statement'!K36</f>
        <v>15.500000000000002</v>
      </c>
      <c r="L41" s="21">
        <f>'Data Sheet'!J31/'Historical Financial Statement'!L36</f>
        <v>13.749997997548999</v>
      </c>
      <c r="M41" s="21">
        <f>'Data Sheet'!K31/'Historical Financial Statement'!M36</f>
        <v>14.349997203154841</v>
      </c>
    </row>
    <row r="42" spans="2:13" x14ac:dyDescent="0.3">
      <c r="B42" s="10" t="s">
        <v>74</v>
      </c>
      <c r="D42" s="42">
        <f>D41/D38</f>
        <v>0.85312213526238667</v>
      </c>
      <c r="E42" s="42">
        <f t="shared" ref="E42:M42" si="16">E41/E38</f>
        <v>0.66180579450829269</v>
      </c>
      <c r="F42" s="42">
        <f t="shared" si="16"/>
        <v>0.67927140443991962</v>
      </c>
      <c r="G42" s="42">
        <f t="shared" si="16"/>
        <v>0.65536016125763097</v>
      </c>
      <c r="H42" s="42">
        <f t="shared" si="16"/>
        <v>0.94695593170940517</v>
      </c>
      <c r="I42" s="42">
        <f t="shared" si="16"/>
        <v>1.2245091352618422</v>
      </c>
      <c r="J42" s="42">
        <f t="shared" si="16"/>
        <v>1.0425492941064831</v>
      </c>
      <c r="K42" s="42">
        <f t="shared" si="16"/>
        <v>1.108424611659536</v>
      </c>
      <c r="L42" s="42">
        <f t="shared" si="16"/>
        <v>0.98539398917737353</v>
      </c>
      <c r="M42" s="42">
        <f t="shared" si="16"/>
        <v>1.040569372334508</v>
      </c>
    </row>
    <row r="44" spans="2:13" x14ac:dyDescent="0.3">
      <c r="B44" s="10" t="s">
        <v>75</v>
      </c>
      <c r="D44" s="42">
        <f>IF(D38&gt;D41,1-D42,0)</f>
        <v>0.14687786473761333</v>
      </c>
      <c r="E44" s="42">
        <f t="shared" ref="E44:M44" si="17">IF(E38&gt;E41,1-E42,0)</f>
        <v>0.33819420549170731</v>
      </c>
      <c r="F44" s="42">
        <f t="shared" si="17"/>
        <v>0.32072859556008038</v>
      </c>
      <c r="G44" s="42">
        <f t="shared" si="17"/>
        <v>0.34463983874236903</v>
      </c>
      <c r="H44" s="42">
        <f t="shared" si="17"/>
        <v>5.3044068290594826E-2</v>
      </c>
      <c r="I44" s="42">
        <f t="shared" si="17"/>
        <v>0</v>
      </c>
      <c r="J44" s="42">
        <f t="shared" si="17"/>
        <v>0</v>
      </c>
      <c r="K44" s="42">
        <f t="shared" si="17"/>
        <v>0</v>
      </c>
      <c r="L44" s="42">
        <f t="shared" si="17"/>
        <v>1.460601082262647E-2</v>
      </c>
      <c r="M44" s="42">
        <f t="shared" si="17"/>
        <v>0</v>
      </c>
    </row>
    <row r="46" spans="2:13" x14ac:dyDescent="0.3">
      <c r="B46" s="44" t="str">
        <f>"Balancesheet - "&amp;'Data Sheet'!B1</f>
        <v>Balancesheet - ITC LTD</v>
      </c>
      <c r="C46" s="44"/>
      <c r="D46" s="44"/>
      <c r="E46" s="44"/>
      <c r="F46" s="44"/>
      <c r="G46" s="44"/>
      <c r="H46" s="44"/>
      <c r="I46" s="44"/>
      <c r="J46" s="44"/>
      <c r="K46" s="44"/>
      <c r="L46" s="44"/>
      <c r="M46" s="44"/>
    </row>
    <row r="47" spans="2:13" x14ac:dyDescent="0.3">
      <c r="B47" s="3" t="s">
        <v>10</v>
      </c>
      <c r="D47">
        <f>'Data Sheet'!B57</f>
        <v>804.72</v>
      </c>
      <c r="E47">
        <f>'Data Sheet'!C57</f>
        <v>1214.74</v>
      </c>
      <c r="F47">
        <f>'Data Sheet'!D57</f>
        <v>1220.43</v>
      </c>
      <c r="G47">
        <f>'Data Sheet'!E57</f>
        <v>1225.8599999999999</v>
      </c>
      <c r="H47">
        <f>'Data Sheet'!F57</f>
        <v>1229.22</v>
      </c>
      <c r="I47">
        <f>'Data Sheet'!G57</f>
        <v>1230.8800000000001</v>
      </c>
      <c r="J47">
        <f>'Data Sheet'!H57</f>
        <v>1232.33</v>
      </c>
      <c r="K47">
        <f>'Data Sheet'!I57</f>
        <v>1242.8</v>
      </c>
      <c r="L47">
        <f>'Data Sheet'!J57</f>
        <v>1248.47</v>
      </c>
      <c r="M47">
        <f>'Data Sheet'!K57</f>
        <v>1251.4100000000001</v>
      </c>
    </row>
    <row r="48" spans="2:13" x14ac:dyDescent="0.3">
      <c r="B48" s="3" t="s">
        <v>11</v>
      </c>
      <c r="D48">
        <f>'Data Sheet'!B58</f>
        <v>41874.800000000003</v>
      </c>
      <c r="E48">
        <f>'Data Sheet'!C58</f>
        <v>45198.19</v>
      </c>
      <c r="F48">
        <f>'Data Sheet'!D58</f>
        <v>51289.68</v>
      </c>
      <c r="G48">
        <f>'Data Sheet'!E58</f>
        <v>57915.01</v>
      </c>
      <c r="H48">
        <f>'Data Sheet'!F58</f>
        <v>64044.04</v>
      </c>
      <c r="I48">
        <f>'Data Sheet'!G58</f>
        <v>59116.46</v>
      </c>
      <c r="J48">
        <f>'Data Sheet'!H58</f>
        <v>61223.24</v>
      </c>
      <c r="K48">
        <f>'Data Sheet'!I58</f>
        <v>67912.460000000006</v>
      </c>
      <c r="L48">
        <f>'Data Sheet'!J58</f>
        <v>73258.53</v>
      </c>
      <c r="M48">
        <f>'Data Sheet'!K58</f>
        <v>68778.64</v>
      </c>
    </row>
    <row r="49" spans="2:13" x14ac:dyDescent="0.3">
      <c r="B49" s="3" t="s">
        <v>35</v>
      </c>
      <c r="D49">
        <f>'Data Sheet'!B59</f>
        <v>83.78</v>
      </c>
      <c r="E49">
        <f>'Data Sheet'!C59</f>
        <v>45.72</v>
      </c>
      <c r="F49">
        <f>'Data Sheet'!D59</f>
        <v>35.92</v>
      </c>
      <c r="G49">
        <f>'Data Sheet'!E59</f>
        <v>13.44</v>
      </c>
      <c r="H49">
        <f>'Data Sheet'!F59</f>
        <v>277.45</v>
      </c>
      <c r="I49">
        <f>'Data Sheet'!G59</f>
        <v>270.83</v>
      </c>
      <c r="J49">
        <f>'Data Sheet'!H59</f>
        <v>249.44</v>
      </c>
      <c r="K49">
        <f>'Data Sheet'!I59</f>
        <v>306.04000000000002</v>
      </c>
      <c r="L49">
        <f>'Data Sheet'!J59</f>
        <v>303.43</v>
      </c>
      <c r="M49">
        <f>'Data Sheet'!K59</f>
        <v>284.54000000000002</v>
      </c>
    </row>
    <row r="50" spans="2:13" x14ac:dyDescent="0.3">
      <c r="B50" s="3" t="s">
        <v>36</v>
      </c>
      <c r="D50">
        <f>'Data Sheet'!B60</f>
        <v>8888.0400000000009</v>
      </c>
      <c r="E50">
        <f>'Data Sheet'!C60</f>
        <v>9439.67</v>
      </c>
      <c r="F50">
        <f>'Data Sheet'!D60</f>
        <v>11694.85</v>
      </c>
      <c r="G50">
        <f>'Data Sheet'!E60</f>
        <v>12584.73</v>
      </c>
      <c r="H50">
        <f>'Data Sheet'!F60</f>
        <v>11760.04</v>
      </c>
      <c r="I50">
        <f>'Data Sheet'!G60</f>
        <v>13142.59</v>
      </c>
      <c r="J50">
        <f>'Data Sheet'!H60</f>
        <v>14491.01</v>
      </c>
      <c r="K50">
        <f>'Data Sheet'!I60</f>
        <v>16369.66</v>
      </c>
      <c r="L50">
        <f>'Data Sheet'!J60</f>
        <v>16943.54</v>
      </c>
      <c r="M50">
        <f>'Data Sheet'!K60</f>
        <v>17688.11</v>
      </c>
    </row>
    <row r="51" spans="2:13" s="18" customFormat="1" x14ac:dyDescent="0.3">
      <c r="B51" s="12" t="s">
        <v>76</v>
      </c>
      <c r="C51" s="40"/>
      <c r="D51" s="40">
        <f>SUM(D47:D50)</f>
        <v>51651.340000000004</v>
      </c>
      <c r="E51" s="40">
        <f t="shared" ref="E51:M51" si="18">SUM(E47:E50)</f>
        <v>55898.32</v>
      </c>
      <c r="F51" s="40">
        <f t="shared" si="18"/>
        <v>64240.88</v>
      </c>
      <c r="G51" s="40">
        <f t="shared" si="18"/>
        <v>71739.040000000008</v>
      </c>
      <c r="H51" s="40">
        <f t="shared" si="18"/>
        <v>77310.75</v>
      </c>
      <c r="I51" s="40">
        <f t="shared" si="18"/>
        <v>73760.759999999995</v>
      </c>
      <c r="J51" s="40">
        <f t="shared" si="18"/>
        <v>77196.02</v>
      </c>
      <c r="K51" s="40">
        <f t="shared" si="18"/>
        <v>85830.96</v>
      </c>
      <c r="L51" s="40">
        <f t="shared" si="18"/>
        <v>91753.97</v>
      </c>
      <c r="M51" s="40">
        <f t="shared" si="18"/>
        <v>88002.7</v>
      </c>
    </row>
    <row r="52" spans="2:13" x14ac:dyDescent="0.3">
      <c r="B52" s="3"/>
    </row>
    <row r="53" spans="2:13" x14ac:dyDescent="0.3">
      <c r="B53" s="3" t="s">
        <v>13</v>
      </c>
      <c r="D53">
        <f>'Data Sheet'!B62</f>
        <v>15106.63</v>
      </c>
      <c r="E53">
        <f>'Data Sheet'!C62</f>
        <v>15893.48</v>
      </c>
      <c r="F53">
        <f>'Data Sheet'!D62</f>
        <v>16523.96</v>
      </c>
      <c r="G53">
        <f>'Data Sheet'!E62</f>
        <v>19374.189999999999</v>
      </c>
      <c r="H53">
        <f>'Data Sheet'!F62</f>
        <v>21713.34</v>
      </c>
      <c r="I53">
        <f>'Data Sheet'!G62</f>
        <v>23298.48</v>
      </c>
      <c r="J53">
        <f>'Data Sheet'!H62</f>
        <v>24231.59</v>
      </c>
      <c r="K53">
        <f>'Data Sheet'!I62</f>
        <v>25851.27</v>
      </c>
      <c r="L53">
        <f>'Data Sheet'!J62</f>
        <v>27820.22</v>
      </c>
      <c r="M53">
        <f>'Data Sheet'!K62</f>
        <v>21954.85</v>
      </c>
    </row>
    <row r="54" spans="2:13" x14ac:dyDescent="0.3">
      <c r="B54" s="3" t="s">
        <v>14</v>
      </c>
      <c r="D54">
        <f>'Data Sheet'!B63</f>
        <v>2559.7199999999998</v>
      </c>
      <c r="E54">
        <f>'Data Sheet'!C63</f>
        <v>3729.89</v>
      </c>
      <c r="F54">
        <f>'Data Sheet'!D63</f>
        <v>5508.33</v>
      </c>
      <c r="G54">
        <f>'Data Sheet'!E63</f>
        <v>4136.42</v>
      </c>
      <c r="H54">
        <f>'Data Sheet'!F63</f>
        <v>3256.46</v>
      </c>
      <c r="I54">
        <f>'Data Sheet'!G63</f>
        <v>4011.29</v>
      </c>
      <c r="J54">
        <f>'Data Sheet'!H63</f>
        <v>3225.54</v>
      </c>
      <c r="K54">
        <f>'Data Sheet'!I63</f>
        <v>3003.3</v>
      </c>
      <c r="L54">
        <f>'Data Sheet'!J63</f>
        <v>2860.78</v>
      </c>
      <c r="M54">
        <f>'Data Sheet'!K63</f>
        <v>1090.9100000000001</v>
      </c>
    </row>
    <row r="55" spans="2:13" x14ac:dyDescent="0.3">
      <c r="B55" s="3" t="s">
        <v>15</v>
      </c>
      <c r="D55">
        <f>'Data Sheet'!B64</f>
        <v>11747.59</v>
      </c>
      <c r="E55">
        <f>'Data Sheet'!C64</f>
        <v>17581.38</v>
      </c>
      <c r="F55">
        <f>'Data Sheet'!D64</f>
        <v>22052.86</v>
      </c>
      <c r="G55">
        <f>'Data Sheet'!E64</f>
        <v>25043.49</v>
      </c>
      <c r="H55">
        <f>'Data Sheet'!F64</f>
        <v>28663.35</v>
      </c>
      <c r="I55">
        <f>'Data Sheet'!G64</f>
        <v>24870.87</v>
      </c>
      <c r="J55">
        <f>'Data Sheet'!H64</f>
        <v>24841.01</v>
      </c>
      <c r="K55">
        <f>'Data Sheet'!I64</f>
        <v>29415.02</v>
      </c>
      <c r="L55">
        <f>'Data Sheet'!J64</f>
        <v>31114.02</v>
      </c>
      <c r="M55">
        <f>'Data Sheet'!K64</f>
        <v>34719.82</v>
      </c>
    </row>
    <row r="56" spans="2:13" x14ac:dyDescent="0.3">
      <c r="B56" s="3" t="s">
        <v>37</v>
      </c>
      <c r="D56">
        <f>'Data Sheet'!B65-('Data Sheet'!B67+'Data Sheet'!B68+'Data Sheet'!B69)</f>
        <v>5194.82</v>
      </c>
      <c r="E56">
        <f>'Data Sheet'!C65-('Data Sheet'!C67+'Data Sheet'!C68+'Data Sheet'!C69)</f>
        <v>5135.7800000000007</v>
      </c>
      <c r="F56">
        <f>'Data Sheet'!D65-('Data Sheet'!D67+'Data Sheet'!D68+'Data Sheet'!D69)</f>
        <v>7078.7499999999982</v>
      </c>
      <c r="G56">
        <f>'Data Sheet'!E65-('Data Sheet'!E67+'Data Sheet'!E68+'Data Sheet'!E69)</f>
        <v>7138.07</v>
      </c>
      <c r="H56">
        <f>'Data Sheet'!F65-('Data Sheet'!F67+'Data Sheet'!F68+'Data Sheet'!F69)</f>
        <v>4958.4499999999971</v>
      </c>
      <c r="I56">
        <f>'Data Sheet'!G65-('Data Sheet'!G67+'Data Sheet'!G68+'Data Sheet'!G69)</f>
        <v>4022.239999999998</v>
      </c>
      <c r="J56">
        <f>'Data Sheet'!H65-('Data Sheet'!H67+'Data Sheet'!H68+'Data Sheet'!H69)</f>
        <v>6917.41</v>
      </c>
      <c r="K56">
        <f>'Data Sheet'!I65-('Data Sheet'!I67+'Data Sheet'!I68+'Data Sheet'!I69)</f>
        <v>7953.8499999999985</v>
      </c>
      <c r="L56">
        <f>'Data Sheet'!J65-('Data Sheet'!J67+'Data Sheet'!J68+'Data Sheet'!J69)</f>
        <v>4562.57</v>
      </c>
      <c r="M56">
        <f>'Data Sheet'!K65-('Data Sheet'!K67+'Data Sheet'!K68+'Data Sheet'!K69)</f>
        <v>5867.5299999999988</v>
      </c>
    </row>
    <row r="57" spans="2:13" s="18" customFormat="1" x14ac:dyDescent="0.3">
      <c r="B57" s="12" t="s">
        <v>77</v>
      </c>
      <c r="C57" s="40"/>
      <c r="D57" s="40">
        <f>SUM(D53:D56)</f>
        <v>34608.759999999995</v>
      </c>
      <c r="E57" s="40">
        <f t="shared" ref="E57:M57" si="19">SUM(E53:E56)</f>
        <v>42340.53</v>
      </c>
      <c r="F57" s="40">
        <f t="shared" si="19"/>
        <v>51163.9</v>
      </c>
      <c r="G57" s="40">
        <f t="shared" si="19"/>
        <v>55692.170000000006</v>
      </c>
      <c r="H57" s="40">
        <f t="shared" si="19"/>
        <v>58591.599999999991</v>
      </c>
      <c r="I57" s="40">
        <f t="shared" si="19"/>
        <v>56202.879999999997</v>
      </c>
      <c r="J57" s="40">
        <f t="shared" si="19"/>
        <v>59215.55</v>
      </c>
      <c r="K57" s="40">
        <f t="shared" si="19"/>
        <v>66223.44</v>
      </c>
      <c r="L57" s="40">
        <f t="shared" si="19"/>
        <v>66357.59</v>
      </c>
      <c r="M57" s="40">
        <f t="shared" si="19"/>
        <v>63633.11</v>
      </c>
    </row>
    <row r="59" spans="2:13" x14ac:dyDescent="0.3">
      <c r="B59" s="3" t="s">
        <v>42</v>
      </c>
      <c r="D59">
        <f>'Data Sheet'!B67</f>
        <v>1917.18</v>
      </c>
      <c r="E59">
        <f>'Data Sheet'!C67</f>
        <v>2474.29</v>
      </c>
      <c r="F59">
        <f>'Data Sheet'!D67</f>
        <v>2682.29</v>
      </c>
      <c r="G59">
        <f>'Data Sheet'!E67</f>
        <v>4035.28</v>
      </c>
      <c r="H59">
        <f>'Data Sheet'!F67</f>
        <v>2562.48</v>
      </c>
      <c r="I59">
        <f>'Data Sheet'!G67</f>
        <v>2501.6999999999998</v>
      </c>
      <c r="J59">
        <f>'Data Sheet'!H67</f>
        <v>2461.9</v>
      </c>
      <c r="K59">
        <f>'Data Sheet'!I67</f>
        <v>2956.17</v>
      </c>
      <c r="L59">
        <f>'Data Sheet'!J67</f>
        <v>4025.82</v>
      </c>
      <c r="M59">
        <f>'Data Sheet'!K67</f>
        <v>4719.67</v>
      </c>
    </row>
    <row r="60" spans="2:13" x14ac:dyDescent="0.3">
      <c r="B60" s="3" t="s">
        <v>29</v>
      </c>
      <c r="D60">
        <f>'Data Sheet'!B68</f>
        <v>9062.1</v>
      </c>
      <c r="E60">
        <f>'Data Sheet'!C68</f>
        <v>8116.1</v>
      </c>
      <c r="F60">
        <f>'Data Sheet'!D68</f>
        <v>7495.09</v>
      </c>
      <c r="G60">
        <f>'Data Sheet'!E68</f>
        <v>7859.56</v>
      </c>
      <c r="H60">
        <f>'Data Sheet'!F68</f>
        <v>8879.33</v>
      </c>
      <c r="I60">
        <f>'Data Sheet'!G68</f>
        <v>10397.16</v>
      </c>
      <c r="J60">
        <f>'Data Sheet'!H68</f>
        <v>10864.15</v>
      </c>
      <c r="K60">
        <f>'Data Sheet'!I68</f>
        <v>11771.16</v>
      </c>
      <c r="L60">
        <f>'Data Sheet'!J68</f>
        <v>14152.88</v>
      </c>
      <c r="M60">
        <f>'Data Sheet'!K68</f>
        <v>15637.56</v>
      </c>
    </row>
    <row r="61" spans="2:13" x14ac:dyDescent="0.3">
      <c r="B61" s="2" t="s">
        <v>51</v>
      </c>
      <c r="D61">
        <f>'Data Sheet'!B69</f>
        <v>6063.3</v>
      </c>
      <c r="E61">
        <f>'Data Sheet'!C69</f>
        <v>2967.4</v>
      </c>
      <c r="F61">
        <f>'Data Sheet'!D69</f>
        <v>2899.6</v>
      </c>
      <c r="G61">
        <f>'Data Sheet'!E69</f>
        <v>4152.03</v>
      </c>
      <c r="H61">
        <f>'Data Sheet'!F69</f>
        <v>7277.34</v>
      </c>
      <c r="I61">
        <f>'Data Sheet'!G69</f>
        <v>4659.0200000000004</v>
      </c>
      <c r="J61">
        <f>'Data Sheet'!H69</f>
        <v>4654.42</v>
      </c>
      <c r="K61">
        <f>'Data Sheet'!I69</f>
        <v>4880.1899999999996</v>
      </c>
      <c r="L61">
        <f>'Data Sheet'!J69</f>
        <v>7217.68</v>
      </c>
      <c r="M61">
        <f>'Data Sheet'!K69</f>
        <v>4012.36</v>
      </c>
    </row>
    <row r="62" spans="2:13" s="18" customFormat="1" x14ac:dyDescent="0.3">
      <c r="B62" s="12" t="s">
        <v>78</v>
      </c>
      <c r="C62" s="40"/>
      <c r="D62" s="40">
        <f>SUM(D59:D61)</f>
        <v>17042.580000000002</v>
      </c>
      <c r="E62" s="40">
        <f t="shared" ref="E62:M62" si="20">SUM(E59:E61)</f>
        <v>13557.789999999999</v>
      </c>
      <c r="F62" s="40">
        <f t="shared" si="20"/>
        <v>13076.980000000001</v>
      </c>
      <c r="G62" s="40">
        <f t="shared" si="20"/>
        <v>16046.869999999999</v>
      </c>
      <c r="H62" s="40">
        <f t="shared" si="20"/>
        <v>18719.150000000001</v>
      </c>
      <c r="I62" s="40">
        <f t="shared" si="20"/>
        <v>17557.88</v>
      </c>
      <c r="J62" s="40">
        <f t="shared" si="20"/>
        <v>17980.47</v>
      </c>
      <c r="K62" s="40">
        <f t="shared" si="20"/>
        <v>19607.52</v>
      </c>
      <c r="L62" s="40">
        <f t="shared" si="20"/>
        <v>25396.38</v>
      </c>
      <c r="M62" s="40">
        <f t="shared" si="20"/>
        <v>24369.59</v>
      </c>
    </row>
    <row r="63" spans="2:13" x14ac:dyDescent="0.3">
      <c r="B63" s="2"/>
    </row>
    <row r="64" spans="2:13" s="18" customFormat="1" x14ac:dyDescent="0.3">
      <c r="B64" s="12" t="s">
        <v>79</v>
      </c>
      <c r="C64" s="40"/>
      <c r="D64" s="40">
        <f>D57+D62</f>
        <v>51651.34</v>
      </c>
      <c r="E64" s="40">
        <f t="shared" ref="E64:M64" si="21">E57+E62</f>
        <v>55898.32</v>
      </c>
      <c r="F64" s="40">
        <f t="shared" si="21"/>
        <v>64240.880000000005</v>
      </c>
      <c r="G64" s="40">
        <f t="shared" si="21"/>
        <v>71739.040000000008</v>
      </c>
      <c r="H64" s="40">
        <f t="shared" si="21"/>
        <v>77310.75</v>
      </c>
      <c r="I64" s="40">
        <f t="shared" si="21"/>
        <v>73760.759999999995</v>
      </c>
      <c r="J64" s="40">
        <f t="shared" si="21"/>
        <v>77196.02</v>
      </c>
      <c r="K64" s="40">
        <f t="shared" si="21"/>
        <v>85830.96</v>
      </c>
      <c r="L64" s="40">
        <f t="shared" si="21"/>
        <v>91753.97</v>
      </c>
      <c r="M64" s="40">
        <f t="shared" si="21"/>
        <v>88002.7</v>
      </c>
    </row>
    <row r="66" spans="2:13" x14ac:dyDescent="0.3">
      <c r="B66" s="13" t="s">
        <v>80</v>
      </c>
      <c r="D66" t="b">
        <f>D51=D64</f>
        <v>1</v>
      </c>
      <c r="E66" t="b">
        <f t="shared" ref="E66:M66" si="22">E51=E64</f>
        <v>1</v>
      </c>
      <c r="F66" t="b">
        <f t="shared" si="22"/>
        <v>1</v>
      </c>
      <c r="G66" t="b">
        <f t="shared" si="22"/>
        <v>1</v>
      </c>
      <c r="H66" t="b">
        <f t="shared" si="22"/>
        <v>1</v>
      </c>
      <c r="I66" t="b">
        <f t="shared" si="22"/>
        <v>1</v>
      </c>
      <c r="J66" t="b">
        <f t="shared" si="22"/>
        <v>1</v>
      </c>
      <c r="K66" t="b">
        <f t="shared" si="22"/>
        <v>1</v>
      </c>
      <c r="L66" t="b">
        <f t="shared" si="22"/>
        <v>1</v>
      </c>
      <c r="M66" t="b">
        <f t="shared" si="22"/>
        <v>1</v>
      </c>
    </row>
    <row r="68" spans="2:13" x14ac:dyDescent="0.3">
      <c r="B68" s="44" t="str">
        <f>"Cashflow Statement - "&amp;'Data Sheet'!B1</f>
        <v>Cashflow Statement - ITC LTD</v>
      </c>
      <c r="C68" s="44"/>
      <c r="D68" s="44"/>
      <c r="E68" s="44"/>
      <c r="F68" s="44"/>
      <c r="G68" s="44"/>
      <c r="H68" s="44"/>
      <c r="I68" s="44"/>
      <c r="J68" s="44"/>
      <c r="K68" s="44"/>
      <c r="L68" s="44"/>
      <c r="M68" s="44"/>
    </row>
    <row r="69" spans="2:13" x14ac:dyDescent="0.3">
      <c r="B69" s="3" t="s">
        <v>17</v>
      </c>
      <c r="D69">
        <f>'Data Sheet'!B82</f>
        <v>9799.0400000000009</v>
      </c>
      <c r="E69">
        <f>'Data Sheet'!C82</f>
        <v>10627.31</v>
      </c>
      <c r="F69">
        <f>'Data Sheet'!D82</f>
        <v>13169.4</v>
      </c>
      <c r="G69">
        <f>'Data Sheet'!E82</f>
        <v>12583.41</v>
      </c>
      <c r="H69">
        <f>'Data Sheet'!F82</f>
        <v>14689.66</v>
      </c>
      <c r="I69">
        <f>'Data Sheet'!G82</f>
        <v>12526.97</v>
      </c>
      <c r="J69">
        <f>'Data Sheet'!H82</f>
        <v>15775.51</v>
      </c>
      <c r="K69">
        <f>'Data Sheet'!I82</f>
        <v>18877.55</v>
      </c>
      <c r="L69">
        <f>'Data Sheet'!J82</f>
        <v>17178.86</v>
      </c>
      <c r="M69">
        <f>'Data Sheet'!K82</f>
        <v>17627.04</v>
      </c>
    </row>
    <row r="70" spans="2:13" x14ac:dyDescent="0.3">
      <c r="B70" s="3" t="s">
        <v>18</v>
      </c>
      <c r="D70">
        <f>'Data Sheet'!B83</f>
        <v>-3920.73</v>
      </c>
      <c r="E70">
        <f>'Data Sheet'!C83</f>
        <v>-3250.93</v>
      </c>
      <c r="F70">
        <f>'Data Sheet'!D83</f>
        <v>-7113.89</v>
      </c>
      <c r="G70">
        <f>'Data Sheet'!E83</f>
        <v>-5545.68</v>
      </c>
      <c r="H70">
        <f>'Data Sheet'!F83</f>
        <v>-6174.02</v>
      </c>
      <c r="I70">
        <f>'Data Sheet'!G83</f>
        <v>5739.98</v>
      </c>
      <c r="J70">
        <f>'Data Sheet'!H83</f>
        <v>-2238.4899999999998</v>
      </c>
      <c r="K70">
        <f>'Data Sheet'!I83</f>
        <v>-5732.29</v>
      </c>
      <c r="L70">
        <f>'Data Sheet'!J83</f>
        <v>1562.77</v>
      </c>
      <c r="M70">
        <f>'Data Sheet'!K83</f>
        <v>-563.84</v>
      </c>
    </row>
    <row r="71" spans="2:13" x14ac:dyDescent="0.3">
      <c r="B71" s="3" t="s">
        <v>19</v>
      </c>
      <c r="D71">
        <f>'Data Sheet'!B84</f>
        <v>-5612.52</v>
      </c>
      <c r="E71">
        <f>'Data Sheet'!C84</f>
        <v>-7301.03</v>
      </c>
      <c r="F71">
        <f>'Data Sheet'!D84</f>
        <v>-6221.13</v>
      </c>
      <c r="G71">
        <f>'Data Sheet'!E84</f>
        <v>-6868.64</v>
      </c>
      <c r="H71">
        <f>'Data Sheet'!F84</f>
        <v>-8181.48</v>
      </c>
      <c r="I71">
        <f>'Data Sheet'!G84</f>
        <v>-18633.830000000002</v>
      </c>
      <c r="J71">
        <f>'Data Sheet'!H84</f>
        <v>-13580.5</v>
      </c>
      <c r="K71">
        <f>'Data Sheet'!I84</f>
        <v>-13006.03</v>
      </c>
      <c r="L71">
        <f>'Data Sheet'!J84</f>
        <v>-18550.96</v>
      </c>
      <c r="M71">
        <f>'Data Sheet'!K84</f>
        <v>-17037.400000000001</v>
      </c>
    </row>
    <row r="72" spans="2:13" s="18" customFormat="1" x14ac:dyDescent="0.3">
      <c r="B72" s="12" t="s">
        <v>20</v>
      </c>
      <c r="C72" s="40"/>
      <c r="D72" s="40">
        <f>SUM(D69:D71)</f>
        <v>265.79000000000087</v>
      </c>
      <c r="E72" s="40">
        <f t="shared" ref="E72:M72" si="23">SUM(E69:E71)</f>
        <v>75.349999999999454</v>
      </c>
      <c r="F72" s="40">
        <f t="shared" si="23"/>
        <v>-165.6200000000008</v>
      </c>
      <c r="G72" s="40">
        <f t="shared" si="23"/>
        <v>169.08999999999924</v>
      </c>
      <c r="H72" s="40">
        <f t="shared" si="23"/>
        <v>334.15999999999985</v>
      </c>
      <c r="I72" s="40">
        <f t="shared" si="23"/>
        <v>-366.88000000000466</v>
      </c>
      <c r="J72" s="40">
        <f t="shared" si="23"/>
        <v>-43.479999999999563</v>
      </c>
      <c r="K72" s="40">
        <f t="shared" si="23"/>
        <v>139.22999999999774</v>
      </c>
      <c r="L72" s="40">
        <f t="shared" si="23"/>
        <v>190.67000000000189</v>
      </c>
      <c r="M72" s="40">
        <f t="shared" si="23"/>
        <v>25.799999999999272</v>
      </c>
    </row>
  </sheetData>
  <mergeCells count="4">
    <mergeCell ref="B46:M46"/>
    <mergeCell ref="B5:M5"/>
    <mergeCell ref="B2:M2"/>
    <mergeCell ref="B68:M6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7B4D6-0F3B-4651-BA10-6E2F8FE2478B}">
  <dimension ref="B2:M38"/>
  <sheetViews>
    <sheetView topLeftCell="A18" workbookViewId="0">
      <selection activeCell="D25" sqref="D25"/>
    </sheetView>
  </sheetViews>
  <sheetFormatPr defaultRowHeight="14.4" x14ac:dyDescent="0.3"/>
  <cols>
    <col min="1" max="1" width="1.88671875" customWidth="1"/>
  </cols>
  <sheetData>
    <row r="2" spans="2:13" x14ac:dyDescent="0.3">
      <c r="B2" s="49" t="str">
        <f>"Commonsize Statement - "&amp;'Data Sheet'!B1</f>
        <v>Commonsize Statement - ITC LTD</v>
      </c>
      <c r="C2" s="49"/>
      <c r="D2" s="49"/>
      <c r="E2" s="49"/>
      <c r="F2" s="49"/>
      <c r="G2" s="49"/>
      <c r="H2" s="49"/>
      <c r="I2" s="49"/>
      <c r="J2" s="49"/>
      <c r="K2" s="49"/>
      <c r="L2" s="49"/>
      <c r="M2" s="49"/>
    </row>
    <row r="3" spans="2:13" x14ac:dyDescent="0.3">
      <c r="B3" s="8" t="s">
        <v>82</v>
      </c>
      <c r="C3" s="8"/>
      <c r="D3" s="9">
        <f>'Data Sheet'!B16</f>
        <v>42460</v>
      </c>
      <c r="E3" s="9">
        <f>'Data Sheet'!C16</f>
        <v>42825</v>
      </c>
      <c r="F3" s="9">
        <f>'Data Sheet'!D16</f>
        <v>43190</v>
      </c>
      <c r="G3" s="9">
        <f>'Data Sheet'!E16</f>
        <v>43555</v>
      </c>
      <c r="H3" s="9">
        <f>'Data Sheet'!F16</f>
        <v>43921</v>
      </c>
      <c r="I3" s="9">
        <f>'Data Sheet'!G16</f>
        <v>44286</v>
      </c>
      <c r="J3" s="9">
        <f>'Data Sheet'!H16</f>
        <v>44651</v>
      </c>
      <c r="K3" s="9">
        <f>'Data Sheet'!I16</f>
        <v>45016</v>
      </c>
      <c r="L3" s="9">
        <f>'Data Sheet'!J16</f>
        <v>45382</v>
      </c>
      <c r="M3" s="9">
        <f>'Data Sheet'!K16</f>
        <v>45747</v>
      </c>
    </row>
    <row r="5" spans="2:13" x14ac:dyDescent="0.3">
      <c r="B5" s="44" t="s">
        <v>83</v>
      </c>
      <c r="C5" s="44"/>
      <c r="D5" s="44"/>
      <c r="E5" s="44"/>
      <c r="F5" s="44"/>
      <c r="G5" s="44"/>
      <c r="H5" s="44"/>
      <c r="I5" s="44"/>
      <c r="J5" s="44"/>
      <c r="K5" s="44"/>
      <c r="L5" s="44"/>
      <c r="M5" s="44"/>
    </row>
    <row r="7" spans="2:13" s="18" customFormat="1" x14ac:dyDescent="0.3">
      <c r="B7" s="50" t="s">
        <v>1</v>
      </c>
      <c r="C7" s="40"/>
      <c r="D7" s="17">
        <f>'Data Sheet'!B17/'Data Sheet'!B17</f>
        <v>1</v>
      </c>
      <c r="E7" s="17">
        <f>'Data Sheet'!C17/'Data Sheet'!C17</f>
        <v>1</v>
      </c>
      <c r="F7" s="17">
        <f>'Data Sheet'!D17/'Data Sheet'!D17</f>
        <v>1</v>
      </c>
      <c r="G7" s="17">
        <f>'Data Sheet'!E17/'Data Sheet'!E17</f>
        <v>1</v>
      </c>
      <c r="H7" s="17">
        <f>'Data Sheet'!F17/'Data Sheet'!F17</f>
        <v>1</v>
      </c>
      <c r="I7" s="17">
        <f>'Data Sheet'!G17/'Data Sheet'!G17</f>
        <v>1</v>
      </c>
      <c r="J7" s="17">
        <f>'Data Sheet'!H17/'Data Sheet'!H17</f>
        <v>1</v>
      </c>
      <c r="K7" s="17">
        <f>'Data Sheet'!I17/'Data Sheet'!I17</f>
        <v>1</v>
      </c>
      <c r="L7" s="17">
        <f>'Data Sheet'!J17/'Data Sheet'!J17</f>
        <v>1</v>
      </c>
      <c r="M7" s="17">
        <f>'Data Sheet'!K17/'Data Sheet'!K17</f>
        <v>1</v>
      </c>
    </row>
    <row r="8" spans="2:13" x14ac:dyDescent="0.3">
      <c r="B8" s="2" t="s">
        <v>44</v>
      </c>
      <c r="D8" s="16">
        <f>'Data Sheet'!B18/'Data Sheet'!B$17</f>
        <v>0.35119016332373104</v>
      </c>
      <c r="E8" s="16">
        <f>'Data Sheet'!C18/'Data Sheet'!C$17</f>
        <v>0.36140887026627638</v>
      </c>
      <c r="F8" s="16">
        <f>'Data Sheet'!D18/'Data Sheet'!D$17</f>
        <v>0.34126770411430057</v>
      </c>
      <c r="G8" s="16">
        <f>'Data Sheet'!E18/'Data Sheet'!E$17</f>
        <v>0.36457743323380137</v>
      </c>
      <c r="H8" s="16">
        <f>'Data Sheet'!F18/'Data Sheet'!F$17</f>
        <v>0.36544726723455434</v>
      </c>
      <c r="I8" s="16">
        <f>'Data Sheet'!G18/'Data Sheet'!G$17</f>
        <v>0.42179832695358777</v>
      </c>
      <c r="J8" s="16">
        <f>'Data Sheet'!H18/'Data Sheet'!H$17</f>
        <v>0.44638923800889574</v>
      </c>
      <c r="K8" s="16">
        <f>'Data Sheet'!I18/'Data Sheet'!I$17</f>
        <v>0.41405473255908887</v>
      </c>
      <c r="L8" s="16">
        <f>'Data Sheet'!J18/'Data Sheet'!J$17</f>
        <v>0.40258779596166394</v>
      </c>
      <c r="M8" s="16">
        <f>'Data Sheet'!K18/'Data Sheet'!K$17</f>
        <v>0.43418640224928956</v>
      </c>
    </row>
    <row r="9" spans="2:13" x14ac:dyDescent="0.3">
      <c r="B9" s="2" t="s">
        <v>45</v>
      </c>
      <c r="D9" s="16">
        <f>'Data Sheet'!B19/'Data Sheet'!B$17</f>
        <v>4.9851883415280122E-3</v>
      </c>
      <c r="E9" s="16">
        <f>'Data Sheet'!C19/'Data Sheet'!C$17</f>
        <v>-1.3855582263208599E-2</v>
      </c>
      <c r="F9" s="16">
        <f>'Data Sheet'!D19/'Data Sheet'!D$17</f>
        <v>-2.3654432075903346E-2</v>
      </c>
      <c r="G9" s="16">
        <f>'Data Sheet'!E19/'Data Sheet'!E$17</f>
        <v>4.2033877828479265E-3</v>
      </c>
      <c r="H9" s="16">
        <f>'Data Sheet'!F19/'Data Sheet'!F$17</f>
        <v>1.4236945636261661E-2</v>
      </c>
      <c r="I9" s="16">
        <f>'Data Sheet'!G19/'Data Sheet'!G$17</f>
        <v>1.3099947317613884E-2</v>
      </c>
      <c r="J9" s="16">
        <f>'Data Sheet'!H19/'Data Sheet'!H$17</f>
        <v>1.1311818013624969E-2</v>
      </c>
      <c r="K9" s="16">
        <f>'Data Sheet'!I19/'Data Sheet'!I$17</f>
        <v>5.0563297326542671E-3</v>
      </c>
      <c r="L9" s="16">
        <f>'Data Sheet'!J19/'Data Sheet'!J$17</f>
        <v>5.4138009307551057E-3</v>
      </c>
      <c r="M9" s="16">
        <f>'Data Sheet'!K19/'Data Sheet'!K$17</f>
        <v>9.6338000943665004E-3</v>
      </c>
    </row>
    <row r="10" spans="2:13" x14ac:dyDescent="0.3">
      <c r="B10" s="2" t="s">
        <v>46</v>
      </c>
      <c r="D10" s="16">
        <f>'Data Sheet'!B20/'Data Sheet'!B$17</f>
        <v>1.4591716187701094E-2</v>
      </c>
      <c r="E10" s="16">
        <f>'Data Sheet'!C20/'Data Sheet'!C$17</f>
        <v>1.366291304632479E-2</v>
      </c>
      <c r="F10" s="16">
        <f>'Data Sheet'!D20/'Data Sheet'!D$17</f>
        <v>1.5040643108899779E-2</v>
      </c>
      <c r="G10" s="16">
        <f>'Data Sheet'!E20/'Data Sheet'!E$17</f>
        <v>1.544758973909165E-2</v>
      </c>
      <c r="H10" s="16">
        <f>'Data Sheet'!F20/'Data Sheet'!F$17</f>
        <v>1.5810616813498098E-2</v>
      </c>
      <c r="I10" s="16">
        <f>'Data Sheet'!G20/'Data Sheet'!G$17</f>
        <v>1.4202115619058639E-2</v>
      </c>
      <c r="J10" s="16">
        <f>'Data Sheet'!H20/'Data Sheet'!H$17</f>
        <v>1.4671889670529284E-2</v>
      </c>
      <c r="K10" s="16">
        <f>'Data Sheet'!I20/'Data Sheet'!I$17</f>
        <v>1.7376718209484814E-2</v>
      </c>
      <c r="L10" s="16">
        <f>'Data Sheet'!J20/'Data Sheet'!J$17</f>
        <v>1.4027274946071023E-2</v>
      </c>
      <c r="M10" s="16">
        <f>'Data Sheet'!K20/'Data Sheet'!K$17</f>
        <v>1.2948841620671628E-2</v>
      </c>
    </row>
    <row r="11" spans="2:13" x14ac:dyDescent="0.3">
      <c r="B11" s="2" t="s">
        <v>47</v>
      </c>
      <c r="D11" s="16">
        <f>'Data Sheet'!B21/'Data Sheet'!B$17</f>
        <v>4.035481640432638E-2</v>
      </c>
      <c r="E11" s="16">
        <f>'Data Sheet'!C21/'Data Sheet'!C$17</f>
        <v>3.9373263872651262E-2</v>
      </c>
      <c r="F11" s="16">
        <f>'Data Sheet'!D21/'Data Sheet'!D$17</f>
        <v>3.9071609111752781E-2</v>
      </c>
      <c r="G11" s="16">
        <f>'Data Sheet'!E21/'Data Sheet'!E$17</f>
        <v>3.8705549365550963E-2</v>
      </c>
      <c r="H11" s="16">
        <f>'Data Sheet'!F21/'Data Sheet'!F$17</f>
        <v>3.8638972861663935E-2</v>
      </c>
      <c r="I11" s="16">
        <f>'Data Sheet'!G21/'Data Sheet'!G$17</f>
        <v>3.2222130865483298E-2</v>
      </c>
      <c r="J11" s="16">
        <f>'Data Sheet'!H21/'Data Sheet'!H$17</f>
        <v>3.1126792288308232E-2</v>
      </c>
      <c r="K11" s="16">
        <f>'Data Sheet'!I21/'Data Sheet'!I$17</f>
        <v>3.2823347978673707E-2</v>
      </c>
      <c r="L11" s="16">
        <f>'Data Sheet'!J21/'Data Sheet'!J$17</f>
        <v>3.2146292303738125E-2</v>
      </c>
      <c r="M11" s="16">
        <f>'Data Sheet'!K21/'Data Sheet'!K$17</f>
        <v>3.1137227849959922E-2</v>
      </c>
    </row>
    <row r="12" spans="2:13" x14ac:dyDescent="0.3">
      <c r="B12" s="2" t="s">
        <v>48</v>
      </c>
      <c r="D12" s="16">
        <f>'Data Sheet'!B22/'Data Sheet'!B$17</f>
        <v>8.779754083093276E-2</v>
      </c>
      <c r="E12" s="16">
        <f>'Data Sheet'!C22/'Data Sheet'!C$17</f>
        <v>8.4917788232213173E-2</v>
      </c>
      <c r="F12" s="16">
        <f>'Data Sheet'!D22/'Data Sheet'!D$17</f>
        <v>8.6559073708127279E-2</v>
      </c>
      <c r="G12" s="16">
        <f>'Data Sheet'!E22/'Data Sheet'!E$17</f>
        <v>8.6427726513138917E-2</v>
      </c>
      <c r="H12" s="16">
        <f>'Data Sheet'!F22/'Data Sheet'!F$17</f>
        <v>8.6980968945709156E-2</v>
      </c>
      <c r="I12" s="16">
        <f>'Data Sheet'!G22/'Data Sheet'!G$17</f>
        <v>9.0612283015056611E-2</v>
      </c>
      <c r="J12" s="16">
        <f>'Data Sheet'!H22/'Data Sheet'!H$17</f>
        <v>8.0642874032847811E-2</v>
      </c>
      <c r="K12" s="16">
        <f>'Data Sheet'!I22/'Data Sheet'!I$17</f>
        <v>8.0884073005510662E-2</v>
      </c>
      <c r="L12" s="16">
        <f>'Data Sheet'!J22/'Data Sheet'!J$17</f>
        <v>8.167777925965311E-2</v>
      </c>
      <c r="M12" s="16">
        <f>'Data Sheet'!K22/'Data Sheet'!K$17</f>
        <v>8.1910600353091084E-2</v>
      </c>
    </row>
    <row r="13" spans="2:13" x14ac:dyDescent="0.3">
      <c r="B13" s="2" t="s">
        <v>49</v>
      </c>
      <c r="D13" s="16">
        <f>'Data Sheet'!B23/'Data Sheet'!B$17</f>
        <v>0.10874079214943828</v>
      </c>
      <c r="E13" s="16">
        <f>'Data Sheet'!C23/'Data Sheet'!C$17</f>
        <v>9.7731460264312231E-2</v>
      </c>
      <c r="F13" s="16">
        <f>'Data Sheet'!D23/'Data Sheet'!D$17</f>
        <v>9.1023394356686257E-2</v>
      </c>
      <c r="G13" s="16">
        <f>'Data Sheet'!E23/'Data Sheet'!E$17</f>
        <v>9.4051086087218794E-2</v>
      </c>
      <c r="H13" s="16">
        <f>'Data Sheet'!F23/'Data Sheet'!F$17</f>
        <v>9.088558487234677E-2</v>
      </c>
      <c r="I13" s="16">
        <f>'Data Sheet'!G23/'Data Sheet'!G$17</f>
        <v>8.6012775732401917E-2</v>
      </c>
      <c r="J13" s="16">
        <f>'Data Sheet'!H23/'Data Sheet'!H$17</f>
        <v>8.0112405832412942E-2</v>
      </c>
      <c r="K13" s="16">
        <f>'Data Sheet'!I23/'Data Sheet'!I$17</f>
        <v>7.9020821350771431E-2</v>
      </c>
      <c r="L13" s="16">
        <f>'Data Sheet'!J23/'Data Sheet'!J$17</f>
        <v>7.8202536244364573E-2</v>
      </c>
      <c r="M13" s="16">
        <f>'Data Sheet'!K23/'Data Sheet'!K$17</f>
        <v>7.691228243463448E-2</v>
      </c>
    </row>
    <row r="14" spans="2:13" x14ac:dyDescent="0.3">
      <c r="B14" s="2" t="s">
        <v>50</v>
      </c>
      <c r="D14" s="16">
        <f>'Data Sheet'!B24/'Data Sheet'!B$17</f>
        <v>3.1534161221266538E-2</v>
      </c>
      <c r="E14" s="16">
        <f>'Data Sheet'!C24/'Data Sheet'!C$17</f>
        <v>2.7339153938963141E-2</v>
      </c>
      <c r="F14" s="16">
        <f>'Data Sheet'!D24/'Data Sheet'!D$17</f>
        <v>2.3153154024010712E-2</v>
      </c>
      <c r="G14" s="16">
        <f>'Data Sheet'!E24/'Data Sheet'!E$17</f>
        <v>2.1511357773484997E-2</v>
      </c>
      <c r="H14" s="16">
        <f>'Data Sheet'!F24/'Data Sheet'!F$17</f>
        <v>2.4806378916207884E-2</v>
      </c>
      <c r="I14" s="16">
        <f>'Data Sheet'!G24/'Data Sheet'!G$17</f>
        <v>2.1811725941964111E-2</v>
      </c>
      <c r="J14" s="16">
        <f>'Data Sheet'!H24/'Data Sheet'!H$17</f>
        <v>1.8302554525106464E-2</v>
      </c>
      <c r="K14" s="16">
        <f>'Data Sheet'!I24/'Data Sheet'!I$17</f>
        <v>1.8451465001706874E-2</v>
      </c>
      <c r="L14" s="16">
        <f>'Data Sheet'!J24/'Data Sheet'!J$17</f>
        <v>2.5996166162779982E-2</v>
      </c>
      <c r="M14" s="16">
        <f>'Data Sheet'!K24/'Data Sheet'!K$17</f>
        <v>2.9491390052538827E-2</v>
      </c>
    </row>
    <row r="15" spans="2:13" x14ac:dyDescent="0.3">
      <c r="B15" s="3" t="s">
        <v>4</v>
      </c>
      <c r="D15" s="16">
        <f>'Data Sheet'!B25/'Data Sheet'!B$17</f>
        <v>3.7842065110060448E-2</v>
      </c>
      <c r="E15" s="16">
        <f>'Data Sheet'!C25/'Data Sheet'!C$17</f>
        <v>4.1120614670919112E-2</v>
      </c>
      <c r="F15" s="16">
        <f>'Data Sheet'!D25/'Data Sheet'!D$17</f>
        <v>5.1550394555080051E-2</v>
      </c>
      <c r="G15" s="16">
        <f>'Data Sheet'!E25/'Data Sheet'!E$17</f>
        <v>4.3038023913323203E-2</v>
      </c>
      <c r="H15" s="16">
        <f>'Data Sheet'!F25/'Data Sheet'!F$17</f>
        <v>4.8945790146129507E-2</v>
      </c>
      <c r="I15" s="16">
        <f>'Data Sheet'!G25/'Data Sheet'!G$17</f>
        <v>5.2315944085615476E-2</v>
      </c>
      <c r="J15" s="16">
        <f>'Data Sheet'!H25/'Data Sheet'!H$17</f>
        <v>3.1490386438746173E-2</v>
      </c>
      <c r="K15" s="16">
        <f>'Data Sheet'!I25/'Data Sheet'!I$17</f>
        <v>2.957795672050224E-2</v>
      </c>
      <c r="L15" s="16">
        <f>'Data Sheet'!J25/'Data Sheet'!J$17</f>
        <v>4.9026275416247496E-2</v>
      </c>
      <c r="M15" s="16">
        <f>'Data Sheet'!K25/'Data Sheet'!K$17</f>
        <v>0.23624656049506038</v>
      </c>
    </row>
    <row r="16" spans="2:13" x14ac:dyDescent="0.3">
      <c r="B16" s="3" t="s">
        <v>5</v>
      </c>
      <c r="D16" s="16">
        <f>'Data Sheet'!B26/'Data Sheet'!B$17</f>
        <v>2.7490234001240049E-2</v>
      </c>
      <c r="E16" s="16">
        <f>'Data Sheet'!C26/'Data Sheet'!C$17</f>
        <v>2.6954750792656124E-2</v>
      </c>
      <c r="F16" s="16">
        <f>'Data Sheet'!D26/'Data Sheet'!D$17</f>
        <v>2.845362855802696E-2</v>
      </c>
      <c r="G16" s="16">
        <f>'Data Sheet'!E26/'Data Sheet'!E$17</f>
        <v>2.8891645314253867E-2</v>
      </c>
      <c r="H16" s="16">
        <f>'Data Sheet'!F26/'Data Sheet'!F$17</f>
        <v>3.3306066085280348E-2</v>
      </c>
      <c r="I16" s="16">
        <f>'Data Sheet'!G26/'Data Sheet'!G$17</f>
        <v>3.3407941336792708E-2</v>
      </c>
      <c r="J16" s="16">
        <f>'Data Sheet'!H26/'Data Sheet'!H$17</f>
        <v>2.8566627762367396E-2</v>
      </c>
      <c r="K16" s="16">
        <f>'Data Sheet'!I26/'Data Sheet'!I$17</f>
        <v>2.550810410125463E-2</v>
      </c>
      <c r="L16" s="16">
        <f>'Data Sheet'!J26/'Data Sheet'!J$17</f>
        <v>2.2346631054552542E-2</v>
      </c>
      <c r="M16" s="16">
        <f>'Data Sheet'!K26/'Data Sheet'!K$17</f>
        <v>2.1856704707996222E-2</v>
      </c>
    </row>
    <row r="17" spans="2:13" x14ac:dyDescent="0.3">
      <c r="B17" s="3" t="s">
        <v>6</v>
      </c>
      <c r="D17" s="16">
        <f>'Data Sheet'!B27/'Data Sheet'!B$17</f>
        <v>1.9935139989946953E-3</v>
      </c>
      <c r="E17" s="16">
        <f>'Data Sheet'!C27/'Data Sheet'!C$17</f>
        <v>1.146428604831695E-3</v>
      </c>
      <c r="F17" s="16">
        <f>'Data Sheet'!D27/'Data Sheet'!D$17</f>
        <v>2.647015094039118E-3</v>
      </c>
      <c r="G17" s="16">
        <f>'Data Sheet'!E27/'Data Sheet'!E$17</f>
        <v>1.4770504832685763E-3</v>
      </c>
      <c r="H17" s="16">
        <f>'Data Sheet'!F27/'Data Sheet'!F$17</f>
        <v>1.647778697934911E-3</v>
      </c>
      <c r="I17" s="16">
        <f>'Data Sheet'!G27/'Data Sheet'!G$17</f>
        <v>1.1768778123918311E-3</v>
      </c>
      <c r="J17" s="16">
        <f>'Data Sheet'!H27/'Data Sheet'!H$17</f>
        <v>9.8920694262006107E-4</v>
      </c>
      <c r="K17" s="16">
        <f>'Data Sheet'!I27/'Data Sheet'!I$17</f>
        <v>1.0966027031108574E-3</v>
      </c>
      <c r="L17" s="16">
        <f>'Data Sheet'!J27/'Data Sheet'!J$17</f>
        <v>5.7572329010477244E-4</v>
      </c>
      <c r="M17" s="16">
        <f>'Data Sheet'!K27/'Data Sheet'!K$17</f>
        <v>5.9822094984104534E-4</v>
      </c>
    </row>
    <row r="18" spans="2:13" x14ac:dyDescent="0.3">
      <c r="B18" s="3" t="s">
        <v>7</v>
      </c>
      <c r="D18" s="16">
        <f>'Data Sheet'!B28/'Data Sheet'!B$17</f>
        <v>0.37913431533395764</v>
      </c>
      <c r="E18" s="16">
        <f>'Data Sheet'!C28/'Data Sheet'!C$17</f>
        <v>0.37473040338948177</v>
      </c>
      <c r="F18" s="16">
        <f>'Data Sheet'!D28/'Data Sheet'!D$17</f>
        <v>0.40067974040333321</v>
      </c>
      <c r="G18" s="16">
        <f>'Data Sheet'!E28/'Data Sheet'!E$17</f>
        <v>0.39615197318636197</v>
      </c>
      <c r="H18" s="16">
        <f>'Data Sheet'!F28/'Data Sheet'!F$17</f>
        <v>0.40565910135519573</v>
      </c>
      <c r="I18" s="16">
        <f>'Data Sheet'!G28/'Data Sheet'!G$17</f>
        <v>0.36417171412649252</v>
      </c>
      <c r="J18" s="16">
        <f>'Data Sheet'!H28/'Data Sheet'!H$17</f>
        <v>0.34200061538928322</v>
      </c>
      <c r="K18" s="16">
        <f>'Data Sheet'!I28/'Data Sheet'!I$17</f>
        <v>0.36541842154355464</v>
      </c>
      <c r="L18" s="16">
        <f>'Data Sheet'!J28/'Data Sheet'!J$17</f>
        <v>0.39687987712407446</v>
      </c>
      <c r="M18" s="16">
        <f>'Data Sheet'!K28/'Data Sheet'!K$17</f>
        <v>0.5568386903714041</v>
      </c>
    </row>
    <row r="19" spans="2:13" x14ac:dyDescent="0.3">
      <c r="B19" s="3" t="s">
        <v>8</v>
      </c>
      <c r="D19" s="16">
        <f>'Data Sheet'!B29/'Data Sheet'!B$17</f>
        <v>0.13671658318895902</v>
      </c>
      <c r="E19" s="16">
        <f>'Data Sheet'!C29/'Data Sheet'!C$17</f>
        <v>0.12974985736866226</v>
      </c>
      <c r="F19" s="16">
        <f>'Data Sheet'!D29/'Data Sheet'!D$17</f>
        <v>0.13616972013586523</v>
      </c>
      <c r="G19" s="16">
        <f>'Data Sheet'!E29/'Data Sheet'!E$17</f>
        <v>0.13061594660110823</v>
      </c>
      <c r="H19" s="16">
        <f>'Data Sheet'!F29/'Data Sheet'!F$17</f>
        <v>8.9937170591058102E-2</v>
      </c>
      <c r="I19" s="16">
        <f>'Data Sheet'!G29/'Data Sheet'!G$17</f>
        <v>9.2479208728831891E-2</v>
      </c>
      <c r="J19" s="16">
        <f>'Data Sheet'!H29/'Data Sheet'!H$17</f>
        <v>8.636127836075598E-2</v>
      </c>
      <c r="K19" s="16">
        <f>'Data Sheet'!I29/'Data Sheet'!I$17</f>
        <v>9.0785223655766301E-2</v>
      </c>
      <c r="L19" s="16">
        <f>'Data Sheet'!J29/'Data Sheet'!J$17</f>
        <v>9.1407075964560991E-2</v>
      </c>
      <c r="M19" s="16">
        <f>'Data Sheet'!K29/'Data Sheet'!K$17</f>
        <v>9.1478551004243847E-2</v>
      </c>
    </row>
    <row r="20" spans="2:13" x14ac:dyDescent="0.3">
      <c r="B20" s="3" t="s">
        <v>9</v>
      </c>
      <c r="D20" s="16">
        <f>'Data Sheet'!B30/'Data Sheet'!B$17</f>
        <v>0.23842687684507849</v>
      </c>
      <c r="E20" s="16">
        <f>'Data Sheet'!C30/'Data Sheet'!C$17</f>
        <v>0.2405896052151629</v>
      </c>
      <c r="F20" s="16">
        <f>'Data Sheet'!D30/'Data Sheet'!D$17</f>
        <v>0.25941254263049918</v>
      </c>
      <c r="G20" s="16">
        <f>'Data Sheet'!E30/'Data Sheet'!E$17</f>
        <v>0.26049729848707825</v>
      </c>
      <c r="H20" s="16">
        <f>'Data Sheet'!F30/'Data Sheet'!F$17</f>
        <v>0.30991987883622846</v>
      </c>
      <c r="I20" s="16">
        <f>'Data Sheet'!G30/'Data Sheet'!G$17</f>
        <v>0.26719186640802561</v>
      </c>
      <c r="J20" s="16">
        <f>'Data Sheet'!H30/'Data Sheet'!H$17</f>
        <v>0.25134430898478244</v>
      </c>
      <c r="K20" s="16">
        <f>'Data Sheet'!I30/'Data Sheet'!I$17</f>
        <v>0.27061368436652333</v>
      </c>
      <c r="L20" s="16">
        <f>'Data Sheet'!J30/'Data Sheet'!J$17</f>
        <v>0.30116584334261615</v>
      </c>
      <c r="M20" s="16">
        <f>'Data Sheet'!K30/'Data Sheet'!K$17</f>
        <v>0.46129964497060272</v>
      </c>
    </row>
    <row r="21" spans="2:13" x14ac:dyDescent="0.3">
      <c r="B21" s="3"/>
      <c r="D21" s="16"/>
      <c r="E21" s="16"/>
      <c r="F21" s="16"/>
      <c r="G21" s="16"/>
      <c r="H21" s="16"/>
      <c r="I21" s="16"/>
      <c r="J21" s="16"/>
      <c r="K21" s="16"/>
      <c r="L21" s="16"/>
      <c r="M21" s="16"/>
    </row>
    <row r="23" spans="2:13" x14ac:dyDescent="0.3">
      <c r="B23" s="44" t="s">
        <v>84</v>
      </c>
      <c r="C23" s="44"/>
      <c r="D23" s="44"/>
      <c r="E23" s="44"/>
      <c r="F23" s="44"/>
      <c r="G23" s="44"/>
      <c r="H23" s="44"/>
      <c r="I23" s="44"/>
      <c r="J23" s="44"/>
      <c r="K23" s="44"/>
      <c r="L23" s="44"/>
      <c r="M23" s="44"/>
    </row>
    <row r="25" spans="2:13" s="18" customFormat="1" x14ac:dyDescent="0.3">
      <c r="B25" s="12" t="s">
        <v>76</v>
      </c>
      <c r="C25" s="12"/>
      <c r="D25" s="17">
        <f>'Data Sheet'!B61/'Data Sheet'!B61</f>
        <v>1</v>
      </c>
      <c r="E25" s="17">
        <f>'Data Sheet'!C61/'Data Sheet'!C61</f>
        <v>1</v>
      </c>
      <c r="F25" s="17">
        <f>'Data Sheet'!D61/'Data Sheet'!D61</f>
        <v>1</v>
      </c>
      <c r="G25" s="17">
        <f>'Data Sheet'!E61/'Data Sheet'!E61</f>
        <v>1</v>
      </c>
      <c r="H25" s="17">
        <f>'Data Sheet'!F61/'Data Sheet'!F61</f>
        <v>1</v>
      </c>
      <c r="I25" s="17">
        <f>'Data Sheet'!G61/'Data Sheet'!G61</f>
        <v>1</v>
      </c>
      <c r="J25" s="17">
        <f>'Data Sheet'!H61/'Data Sheet'!H61</f>
        <v>1</v>
      </c>
      <c r="K25" s="17">
        <f>'Data Sheet'!I61/'Data Sheet'!I61</f>
        <v>1</v>
      </c>
      <c r="L25" s="17">
        <f>'Data Sheet'!J61/'Data Sheet'!J61</f>
        <v>1</v>
      </c>
      <c r="M25" s="17">
        <f>'Data Sheet'!K61/'Data Sheet'!K61</f>
        <v>1</v>
      </c>
    </row>
    <row r="26" spans="2:13" x14ac:dyDescent="0.3">
      <c r="B26" s="3" t="s">
        <v>10</v>
      </c>
      <c r="D26" s="16">
        <f>'Data Sheet'!B57/'Historical Financial Statement'!D$51</f>
        <v>1.5579847492823999E-2</v>
      </c>
      <c r="E26" s="16">
        <f>'Data Sheet'!C57/'Historical Financial Statement'!E$51</f>
        <v>2.1731243443452324E-2</v>
      </c>
      <c r="F26" s="16">
        <f>'Data Sheet'!D57/'Historical Financial Statement'!F$51</f>
        <v>1.8997716096043518E-2</v>
      </c>
      <c r="G26" s="16">
        <f>'Data Sheet'!E57/'Historical Financial Statement'!G$51</f>
        <v>1.7087766995488089E-2</v>
      </c>
      <c r="H26" s="16">
        <f>'Data Sheet'!F57/'Historical Financial Statement'!H$51</f>
        <v>1.5899729339063456E-2</v>
      </c>
      <c r="I26" s="16">
        <f>'Data Sheet'!G57/'Historical Financial Statement'!I$51</f>
        <v>1.6687463632424616E-2</v>
      </c>
      <c r="J26" s="16">
        <f>'Data Sheet'!H57/'Historical Financial Statement'!J$51</f>
        <v>1.5963646830497218E-2</v>
      </c>
      <c r="K26" s="16">
        <f>'Data Sheet'!I57/'Historical Financial Statement'!K$51</f>
        <v>1.447962366959428E-2</v>
      </c>
      <c r="L26" s="16">
        <f>'Data Sheet'!J57/'Historical Financial Statement'!L$51</f>
        <v>1.3606713693151371E-2</v>
      </c>
      <c r="M26" s="16">
        <f>'Data Sheet'!K57/'Historical Financial Statement'!M$51</f>
        <v>1.4220131882317249E-2</v>
      </c>
    </row>
    <row r="27" spans="2:13" x14ac:dyDescent="0.3">
      <c r="B27" s="3" t="s">
        <v>11</v>
      </c>
      <c r="D27" s="16">
        <f>'Data Sheet'!B58/'Historical Financial Statement'!D$51</f>
        <v>0.81072049631238996</v>
      </c>
      <c r="E27" s="16">
        <f>'Data Sheet'!C58/'Historical Financial Statement'!E$51</f>
        <v>0.80857868358118823</v>
      </c>
      <c r="F27" s="16">
        <f>'Data Sheet'!D58/'Historical Financial Statement'!F$51</f>
        <v>0.79839628597864787</v>
      </c>
      <c r="G27" s="16">
        <f>'Data Sheet'!E58/'Historical Financial Statement'!G$51</f>
        <v>0.8073011570826707</v>
      </c>
      <c r="H27" s="16">
        <f>'Data Sheet'!F58/'Historical Financial Statement'!H$51</f>
        <v>0.82839760317937672</v>
      </c>
      <c r="I27" s="16">
        <f>'Data Sheet'!G58/'Historical Financial Statement'!I$51</f>
        <v>0.80146218666944324</v>
      </c>
      <c r="J27" s="16">
        <f>'Data Sheet'!H58/'Historical Financial Statement'!J$51</f>
        <v>0.79308803744027212</v>
      </c>
      <c r="K27" s="16">
        <f>'Data Sheet'!I58/'Historical Financial Statement'!K$51</f>
        <v>0.79123500424555426</v>
      </c>
      <c r="L27" s="16">
        <f>'Data Sheet'!J58/'Historical Financial Statement'!L$51</f>
        <v>0.79842354505205604</v>
      </c>
      <c r="M27" s="16">
        <f>'Data Sheet'!K58/'Historical Financial Statement'!M$51</f>
        <v>0.78155147512519507</v>
      </c>
    </row>
    <row r="28" spans="2:13" x14ac:dyDescent="0.3">
      <c r="B28" s="3" t="s">
        <v>35</v>
      </c>
      <c r="D28" s="16">
        <f>'Data Sheet'!B59/'Historical Financial Statement'!D$51</f>
        <v>1.6220295543155317E-3</v>
      </c>
      <c r="E28" s="16">
        <f>'Data Sheet'!C59/'Historical Financial Statement'!E$51</f>
        <v>8.1791366896178633E-4</v>
      </c>
      <c r="F28" s="16">
        <f>'Data Sheet'!D59/'Historical Financial Statement'!F$51</f>
        <v>5.5914551606391452E-4</v>
      </c>
      <c r="G28" s="16">
        <f>'Data Sheet'!E59/'Historical Financial Statement'!G$51</f>
        <v>1.8734569071456766E-4</v>
      </c>
      <c r="H28" s="16">
        <f>'Data Sheet'!F59/'Historical Financial Statement'!H$51</f>
        <v>3.5887635290046986E-3</v>
      </c>
      <c r="I28" s="16">
        <f>'Data Sheet'!G59/'Historical Financial Statement'!I$51</f>
        <v>3.6717354864564847E-3</v>
      </c>
      <c r="J28" s="16">
        <f>'Data Sheet'!H59/'Historical Financial Statement'!J$51</f>
        <v>3.2312546683106198E-3</v>
      </c>
      <c r="K28" s="16">
        <f>'Data Sheet'!I59/'Historical Financial Statement'!K$51</f>
        <v>3.5656131540413856E-3</v>
      </c>
      <c r="L28" s="16">
        <f>'Data Sheet'!J59/'Historical Financial Statement'!L$51</f>
        <v>3.3069958716772691E-3</v>
      </c>
      <c r="M28" s="16">
        <f>'Data Sheet'!K59/'Historical Financial Statement'!M$51</f>
        <v>3.2333098870830101E-3</v>
      </c>
    </row>
    <row r="29" spans="2:13" x14ac:dyDescent="0.3">
      <c r="B29" s="3" t="s">
        <v>36</v>
      </c>
      <c r="D29" s="16">
        <f>'Data Sheet'!B60/'Historical Financial Statement'!D$51</f>
        <v>0.17207762664047052</v>
      </c>
      <c r="E29" s="16">
        <f>'Data Sheet'!C60/'Historical Financial Statement'!E$51</f>
        <v>0.16887215930639776</v>
      </c>
      <c r="F29" s="16">
        <f>'Data Sheet'!D60/'Historical Financial Statement'!F$51</f>
        <v>0.18204685240924473</v>
      </c>
      <c r="G29" s="16">
        <f>'Data Sheet'!E60/'Historical Financial Statement'!G$51</f>
        <v>0.17542373023112656</v>
      </c>
      <c r="H29" s="16">
        <f>'Data Sheet'!F60/'Historical Financial Statement'!H$51</f>
        <v>0.15211390395255511</v>
      </c>
      <c r="I29" s="16">
        <f>'Data Sheet'!G60/'Historical Financial Statement'!I$51</f>
        <v>0.17817861421167572</v>
      </c>
      <c r="J29" s="16">
        <f>'Data Sheet'!H60/'Historical Financial Statement'!J$51</f>
        <v>0.18771706106091998</v>
      </c>
      <c r="K29" s="16">
        <f>'Data Sheet'!I60/'Historical Financial Statement'!K$51</f>
        <v>0.19071975893081003</v>
      </c>
      <c r="L29" s="16">
        <f>'Data Sheet'!J60/'Historical Financial Statement'!L$51</f>
        <v>0.18466274538311531</v>
      </c>
      <c r="M29" s="16">
        <f>'Data Sheet'!K60/'Historical Financial Statement'!M$51</f>
        <v>0.20099508310540473</v>
      </c>
    </row>
    <row r="30" spans="2:13" x14ac:dyDescent="0.3">
      <c r="D30" s="16"/>
      <c r="E30" s="15"/>
      <c r="F30" s="15"/>
      <c r="G30" s="15"/>
      <c r="H30" s="15"/>
      <c r="I30" s="15"/>
      <c r="J30" s="15"/>
      <c r="K30" s="15"/>
      <c r="L30" s="15"/>
      <c r="M30" s="15"/>
    </row>
    <row r="31" spans="2:13" s="18" customFormat="1" x14ac:dyDescent="0.3">
      <c r="B31" s="12" t="s">
        <v>79</v>
      </c>
      <c r="C31" s="12"/>
      <c r="D31" s="17">
        <f>'Historical Financial Statement'!D64/'Historical Financial Statement'!D$64</f>
        <v>1</v>
      </c>
      <c r="E31" s="17">
        <f>'Historical Financial Statement'!E64/'Historical Financial Statement'!E$64</f>
        <v>1</v>
      </c>
      <c r="F31" s="17">
        <f>'Historical Financial Statement'!F64/'Historical Financial Statement'!F$64</f>
        <v>1</v>
      </c>
      <c r="G31" s="17">
        <f>'Historical Financial Statement'!G64/'Historical Financial Statement'!G$64</f>
        <v>1</v>
      </c>
      <c r="H31" s="17">
        <f>'Historical Financial Statement'!H64/'Historical Financial Statement'!H$64</f>
        <v>1</v>
      </c>
      <c r="I31" s="17">
        <f>'Historical Financial Statement'!I64/'Historical Financial Statement'!I$64</f>
        <v>1</v>
      </c>
      <c r="J31" s="17">
        <f>'Historical Financial Statement'!J64/'Historical Financial Statement'!J$64</f>
        <v>1</v>
      </c>
      <c r="K31" s="17">
        <f>'Historical Financial Statement'!K64/'Historical Financial Statement'!K$64</f>
        <v>1</v>
      </c>
      <c r="L31" s="17">
        <f>'Historical Financial Statement'!L64/'Historical Financial Statement'!L$64</f>
        <v>1</v>
      </c>
      <c r="M31" s="17">
        <f>'Historical Financial Statement'!M64/'Historical Financial Statement'!M$64</f>
        <v>1</v>
      </c>
    </row>
    <row r="32" spans="2:13" x14ac:dyDescent="0.3">
      <c r="B32" s="3" t="s">
        <v>13</v>
      </c>
      <c r="D32" s="16">
        <f>'Data Sheet'!B62/'Historical Financial Statement'!D$64</f>
        <v>0.29247314784088857</v>
      </c>
      <c r="E32" s="16">
        <f>'Data Sheet'!C62/'Historical Financial Statement'!E$64</f>
        <v>0.2843284019984858</v>
      </c>
      <c r="F32" s="16">
        <f>'Data Sheet'!D62/'Historical Financial Statement'!F$64</f>
        <v>0.25721876786245762</v>
      </c>
      <c r="G32" s="16">
        <f>'Data Sheet'!E62/'Historical Financial Statement'!G$64</f>
        <v>0.27006480711199921</v>
      </c>
      <c r="H32" s="16">
        <f>'Data Sheet'!F62/'Historical Financial Statement'!H$64</f>
        <v>0.28085796606552127</v>
      </c>
      <c r="I32" s="16">
        <f>'Data Sheet'!G62/'Historical Financial Statement'!I$64</f>
        <v>0.31586550897794441</v>
      </c>
      <c r="J32" s="16">
        <f>'Data Sheet'!H62/'Historical Financial Statement'!J$64</f>
        <v>0.31389688224859258</v>
      </c>
      <c r="K32" s="16">
        <f>'Data Sheet'!I62/'Historical Financial Statement'!K$64</f>
        <v>0.30118817265937603</v>
      </c>
      <c r="L32" s="16">
        <f>'Data Sheet'!J62/'Historical Financial Statement'!L$64</f>
        <v>0.30320453708978479</v>
      </c>
      <c r="M32" s="16">
        <f>'Data Sheet'!K62/'Historical Financial Statement'!M$64</f>
        <v>0.24947927734035433</v>
      </c>
    </row>
    <row r="33" spans="2:13" x14ac:dyDescent="0.3">
      <c r="B33" s="3" t="s">
        <v>14</v>
      </c>
      <c r="D33" s="16">
        <f>'Data Sheet'!B63/'Historical Financial Statement'!D$64</f>
        <v>4.9557668784585257E-2</v>
      </c>
      <c r="E33" s="16">
        <f>'Data Sheet'!C63/'Historical Financial Statement'!E$64</f>
        <v>6.6726334530268522E-2</v>
      </c>
      <c r="F33" s="16">
        <f>'Data Sheet'!D63/'Historical Financial Statement'!F$64</f>
        <v>8.5744933755577443E-2</v>
      </c>
      <c r="G33" s="16">
        <f>'Data Sheet'!E63/'Historical Financial Statement'!G$64</f>
        <v>5.7659260564401189E-2</v>
      </c>
      <c r="H33" s="16">
        <f>'Data Sheet'!F63/'Historical Financial Statement'!H$64</f>
        <v>4.2121697176653962E-2</v>
      </c>
      <c r="I33" s="16">
        <f>'Data Sheet'!G63/'Historical Financial Statement'!I$64</f>
        <v>5.4382438575741363E-2</v>
      </c>
      <c r="J33" s="16">
        <f>'Data Sheet'!H63/'Historical Financial Statement'!J$64</f>
        <v>4.1783760354484591E-2</v>
      </c>
      <c r="K33" s="16">
        <f>'Data Sheet'!I63/'Historical Financial Statement'!K$64</f>
        <v>3.4990870427174532E-2</v>
      </c>
      <c r="L33" s="16">
        <f>'Data Sheet'!J63/'Historical Financial Statement'!L$64</f>
        <v>3.1178814388085879E-2</v>
      </c>
      <c r="M33" s="16">
        <f>'Data Sheet'!K63/'Historical Financial Statement'!M$64</f>
        <v>1.2396324203689206E-2</v>
      </c>
    </row>
    <row r="34" spans="2:13" x14ac:dyDescent="0.3">
      <c r="B34" s="3" t="s">
        <v>15</v>
      </c>
      <c r="D34" s="16">
        <f>'Data Sheet'!B64/'Historical Financial Statement'!D$64</f>
        <v>0.22744017870591549</v>
      </c>
      <c r="E34" s="16">
        <f>'Data Sheet'!C64/'Historical Financial Statement'!E$64</f>
        <v>0.31452430055142983</v>
      </c>
      <c r="F34" s="16">
        <f>'Data Sheet'!D64/'Historical Financial Statement'!F$64</f>
        <v>0.34328390271117082</v>
      </c>
      <c r="G34" s="16">
        <f>'Data Sheet'!E64/'Historical Financial Statement'!G$64</f>
        <v>0.34909151279414946</v>
      </c>
      <c r="H34" s="16">
        <f>'Data Sheet'!F64/'Historical Financial Statement'!H$64</f>
        <v>0.37075503730076348</v>
      </c>
      <c r="I34" s="16">
        <f>'Data Sheet'!G64/'Historical Financial Statement'!I$64</f>
        <v>0.33718294117359965</v>
      </c>
      <c r="J34" s="16">
        <f>'Data Sheet'!H64/'Historical Financial Statement'!J$64</f>
        <v>0.3217913306929554</v>
      </c>
      <c r="K34" s="16">
        <f>'Data Sheet'!I64/'Historical Financial Statement'!K$64</f>
        <v>0.34270873819889697</v>
      </c>
      <c r="L34" s="16">
        <f>'Data Sheet'!J64/'Historical Financial Statement'!L$64</f>
        <v>0.33910271130502584</v>
      </c>
      <c r="M34" s="16">
        <f>'Data Sheet'!K64/'Historical Financial Statement'!M$64</f>
        <v>0.39453130415316806</v>
      </c>
    </row>
    <row r="35" spans="2:13" x14ac:dyDescent="0.3">
      <c r="B35" s="3" t="s">
        <v>37</v>
      </c>
      <c r="D35" s="16">
        <f>'Historical Financial Statement'!D56/'Historical Financial Statement'!D$64</f>
        <v>0.10057473823525198</v>
      </c>
      <c r="E35" s="16">
        <f>'Historical Financial Statement'!E56/'Historical Financial Statement'!E$64</f>
        <v>9.1877179850843468E-2</v>
      </c>
      <c r="F35" s="16">
        <f>'Historical Financial Statement'!F56/'Historical Financial Statement'!F$64</f>
        <v>0.11019073835850315</v>
      </c>
      <c r="G35" s="16">
        <f>'Historical Financial Statement'!G56/'Historical Financial Statement'!G$64</f>
        <v>9.9500495127896868E-2</v>
      </c>
      <c r="H35" s="16">
        <f>'Historical Financial Statement'!H56/'Historical Financial Statement'!H$64</f>
        <v>6.4136617482044828E-2</v>
      </c>
      <c r="I35" s="16">
        <f>'Historical Financial Statement'!I56/'Historical Financial Statement'!I$64</f>
        <v>5.4530891492983506E-2</v>
      </c>
      <c r="J35" s="16">
        <f>'Historical Financial Statement'!J56/'Historical Financial Statement'!J$64</f>
        <v>8.9608376183124464E-2</v>
      </c>
      <c r="K35" s="16">
        <f>'Historical Financial Statement'!K56/'Historical Financial Statement'!K$64</f>
        <v>9.2668775928872266E-2</v>
      </c>
      <c r="L35" s="16">
        <f>'Historical Financial Statement'!L56/'Historical Financial Statement'!L$64</f>
        <v>4.9726131741220564E-2</v>
      </c>
      <c r="M35" s="16">
        <f>'Historical Financial Statement'!M56/'Historical Financial Statement'!M$64</f>
        <v>6.6674431579940144E-2</v>
      </c>
    </row>
    <row r="36" spans="2:13" x14ac:dyDescent="0.3">
      <c r="B36" s="3" t="s">
        <v>42</v>
      </c>
      <c r="D36" s="16">
        <f>'Data Sheet'!B67/'Historical Financial Statement'!D$64</f>
        <v>3.7117720469594793E-2</v>
      </c>
      <c r="E36" s="16">
        <f>'Data Sheet'!C67/'Historical Financial Statement'!E$64</f>
        <v>4.4264120996838546E-2</v>
      </c>
      <c r="F36" s="16">
        <f>'Data Sheet'!D67/'Historical Financial Statement'!F$64</f>
        <v>4.1753631021243791E-2</v>
      </c>
      <c r="G36" s="16">
        <f>'Data Sheet'!E67/'Historical Financial Statement'!G$64</f>
        <v>5.6249428484128026E-2</v>
      </c>
      <c r="H36" s="16">
        <f>'Data Sheet'!F67/'Historical Financial Statement'!H$64</f>
        <v>3.3145196495959491E-2</v>
      </c>
      <c r="I36" s="16">
        <f>'Data Sheet'!G67/'Historical Financial Statement'!I$64</f>
        <v>3.3916407585822053E-2</v>
      </c>
      <c r="J36" s="16">
        <f>'Data Sheet'!H67/'Historical Financial Statement'!J$64</f>
        <v>3.1891540522425897E-2</v>
      </c>
      <c r="K36" s="16">
        <f>'Data Sheet'!I67/'Historical Financial Statement'!K$64</f>
        <v>3.4441767865581369E-2</v>
      </c>
      <c r="L36" s="16">
        <f>'Data Sheet'!J67/'Historical Financial Statement'!L$64</f>
        <v>4.3876248624446439E-2</v>
      </c>
      <c r="M36" s="16">
        <f>'Data Sheet'!K67/'Historical Financial Statement'!M$64</f>
        <v>5.3630968140750232E-2</v>
      </c>
    </row>
    <row r="37" spans="2:13" x14ac:dyDescent="0.3">
      <c r="B37" s="3" t="s">
        <v>29</v>
      </c>
      <c r="D37" s="16">
        <f>'Data Sheet'!B68/'Historical Financial Statement'!D$64</f>
        <v>0.17544752953166368</v>
      </c>
      <c r="E37" s="16">
        <f>'Data Sheet'!C68/'Historical Financial Statement'!E$64</f>
        <v>0.14519398794096139</v>
      </c>
      <c r="F37" s="16">
        <f>'Data Sheet'!D68/'Historical Financial Statement'!F$64</f>
        <v>0.1166716582960881</v>
      </c>
      <c r="G37" s="16">
        <f>'Data Sheet'!E68/'Historical Financial Statement'!G$64</f>
        <v>0.10955764113932943</v>
      </c>
      <c r="H37" s="16">
        <f>'Data Sheet'!F68/'Historical Financial Statement'!H$64</f>
        <v>0.11485246230310792</v>
      </c>
      <c r="I37" s="16">
        <f>'Data Sheet'!G68/'Historical Financial Statement'!I$64</f>
        <v>0.14095787516289149</v>
      </c>
      <c r="J37" s="16">
        <f>'Data Sheet'!H68/'Historical Financial Statement'!J$64</f>
        <v>0.14073458709399783</v>
      </c>
      <c r="K37" s="16">
        <f>'Data Sheet'!I68/'Historical Financial Statement'!K$64</f>
        <v>0.13714352024024895</v>
      </c>
      <c r="L37" s="16">
        <f>'Data Sheet'!J68/'Historical Financial Statement'!L$64</f>
        <v>0.1542481486087196</v>
      </c>
      <c r="M37" s="16">
        <f>'Data Sheet'!K68/'Historical Financial Statement'!M$64</f>
        <v>0.17769409347667742</v>
      </c>
    </row>
    <row r="38" spans="2:13" x14ac:dyDescent="0.3">
      <c r="B38" s="2" t="s">
        <v>51</v>
      </c>
      <c r="D38" s="16">
        <f>'Data Sheet'!B69/'Historical Financial Statement'!D$64</f>
        <v>0.11738901643210033</v>
      </c>
      <c r="E38" s="16">
        <f>'Data Sheet'!C69/'Historical Financial Statement'!E$64</f>
        <v>5.3085674131172461E-2</v>
      </c>
      <c r="F38" s="16">
        <f>'Data Sheet'!D69/'Historical Financial Statement'!F$64</f>
        <v>4.5136367994958966E-2</v>
      </c>
      <c r="G38" s="16">
        <f>'Data Sheet'!E69/'Historical Financial Statement'!G$64</f>
        <v>5.7876854778095711E-2</v>
      </c>
      <c r="H38" s="16">
        <f>'Data Sheet'!F69/'Historical Financial Statement'!H$64</f>
        <v>9.4131023175949013E-2</v>
      </c>
      <c r="I38" s="16">
        <f>'Data Sheet'!G69/'Historical Financial Statement'!I$64</f>
        <v>6.3163937031017581E-2</v>
      </c>
      <c r="J38" s="16">
        <f>'Data Sheet'!H69/'Historical Financial Statement'!J$64</f>
        <v>6.0293522904419167E-2</v>
      </c>
      <c r="K38" s="16">
        <f>'Data Sheet'!I69/'Historical Financial Statement'!K$64</f>
        <v>5.6858154679849782E-2</v>
      </c>
      <c r="L38" s="16">
        <f>'Data Sheet'!J69/'Historical Financial Statement'!L$64</f>
        <v>7.8663408242716906E-2</v>
      </c>
      <c r="M38" s="16">
        <f>'Data Sheet'!K69/'Historical Financial Statement'!M$64</f>
        <v>4.5593601105420635E-2</v>
      </c>
    </row>
  </sheetData>
  <mergeCells count="3">
    <mergeCell ref="B2:M2"/>
    <mergeCell ref="B5:M5"/>
    <mergeCell ref="B23:M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6AE84-4580-4199-A5F7-E59B0A01B271}">
  <dimension ref="B2:P39"/>
  <sheetViews>
    <sheetView topLeftCell="A21" workbookViewId="0">
      <selection activeCell="J46" sqref="J46"/>
    </sheetView>
  </sheetViews>
  <sheetFormatPr defaultRowHeight="14.4" x14ac:dyDescent="0.3"/>
  <cols>
    <col min="1" max="1" width="1.88671875" customWidth="1"/>
    <col min="4" max="7" width="10.109375" bestFit="1" customWidth="1"/>
    <col min="8" max="13" width="9.44140625" bestFit="1" customWidth="1"/>
    <col min="15" max="16" width="10.109375" style="16" bestFit="1" customWidth="1"/>
  </cols>
  <sheetData>
    <row r="2" spans="2:16" x14ac:dyDescent="0.3">
      <c r="B2" s="49" t="str">
        <f>"Ratio Analysis - "&amp;'Data Sheet'!B1</f>
        <v>Ratio Analysis - ITC LTD</v>
      </c>
      <c r="C2" s="49"/>
      <c r="D2" s="49"/>
      <c r="E2" s="49"/>
      <c r="F2" s="49"/>
      <c r="G2" s="49"/>
      <c r="H2" s="49"/>
      <c r="I2" s="49"/>
      <c r="J2" s="49"/>
      <c r="K2" s="49"/>
      <c r="L2" s="49"/>
      <c r="M2" s="49"/>
      <c r="N2" s="49"/>
      <c r="O2" s="49"/>
      <c r="P2" s="49"/>
    </row>
    <row r="3" spans="2:16" x14ac:dyDescent="0.3">
      <c r="B3" s="8" t="s">
        <v>85</v>
      </c>
      <c r="C3" s="8"/>
      <c r="D3" s="9">
        <f>'Data Sheet'!B16</f>
        <v>42460</v>
      </c>
      <c r="E3" s="9">
        <f>'Data Sheet'!C16</f>
        <v>42825</v>
      </c>
      <c r="F3" s="9">
        <f>'Data Sheet'!D16</f>
        <v>43190</v>
      </c>
      <c r="G3" s="9">
        <f>'Data Sheet'!E16</f>
        <v>43555</v>
      </c>
      <c r="H3" s="9">
        <f>'Data Sheet'!F16</f>
        <v>43921</v>
      </c>
      <c r="I3" s="9">
        <f>'Data Sheet'!G16</f>
        <v>44286</v>
      </c>
      <c r="J3" s="9">
        <f>'Data Sheet'!H16</f>
        <v>44651</v>
      </c>
      <c r="K3" s="9">
        <f>'Data Sheet'!I16</f>
        <v>45016</v>
      </c>
      <c r="L3" s="9">
        <f>'Data Sheet'!J16</f>
        <v>45382</v>
      </c>
      <c r="M3" s="9">
        <f>'Data Sheet'!K16</f>
        <v>45747</v>
      </c>
      <c r="N3" s="9" t="s">
        <v>86</v>
      </c>
      <c r="O3" s="26" t="s">
        <v>87</v>
      </c>
      <c r="P3" s="26" t="s">
        <v>88</v>
      </c>
    </row>
    <row r="5" spans="2:16" x14ac:dyDescent="0.3">
      <c r="B5" s="24" t="s">
        <v>55</v>
      </c>
      <c r="C5" s="24"/>
      <c r="D5" s="24" t="s">
        <v>81</v>
      </c>
      <c r="E5" s="33">
        <f>'Data Sheet'!C17/'Data Sheet'!B17-1</f>
        <v>9.1230120355888067E-2</v>
      </c>
      <c r="F5" s="33">
        <f>'Data Sheet'!D17/'Data Sheet'!C17-1</f>
        <v>1.5931218960147486E-2</v>
      </c>
      <c r="G5" s="33">
        <f>'Data Sheet'!E17/'Data Sheet'!D17-1</f>
        <v>0.11256062863673999</v>
      </c>
      <c r="H5" s="33">
        <f>'Data Sheet'!F17/'Data Sheet'!E17-1</f>
        <v>2.1682439110972673E-2</v>
      </c>
      <c r="I5" s="33">
        <f>'Data Sheet'!G17/'Data Sheet'!F17-1</f>
        <v>-2.6372963308678443E-3</v>
      </c>
      <c r="J5" s="33">
        <f>'Data Sheet'!H17/'Data Sheet'!G17-1</f>
        <v>0.23117497962237188</v>
      </c>
      <c r="K5" s="33">
        <f>'Data Sheet'!I17/'Data Sheet'!H17-1</f>
        <v>0.1694215175842706</v>
      </c>
      <c r="L5" s="33">
        <f>'Data Sheet'!J17/'Data Sheet'!I17-1</f>
        <v>-4.2119724423754779E-2</v>
      </c>
      <c r="M5" s="33">
        <f>'Data Sheet'!K17/'Data Sheet'!J17-1</f>
        <v>0.10880596078957838</v>
      </c>
      <c r="N5" s="24"/>
      <c r="O5" s="33">
        <f>AVERAGE(D5:M5)</f>
        <v>7.8449982700594056E-2</v>
      </c>
      <c r="P5" s="33">
        <f>MEDIAN(D5:M5)</f>
        <v>9.1230120355888067E-2</v>
      </c>
    </row>
    <row r="6" spans="2:16" x14ac:dyDescent="0.3">
      <c r="B6" t="s">
        <v>89</v>
      </c>
      <c r="D6" t="s">
        <v>81</v>
      </c>
      <c r="E6" s="16">
        <f>'Historical Financial Statement'!E18/'Historical Financial Statement'!D18-1</f>
        <v>6.4550847848362514E-2</v>
      </c>
      <c r="F6" s="16">
        <f>'Historical Financial Statement'!F18/'Historical Financial Statement'!E18-1</f>
        <v>6.7945267820377131E-2</v>
      </c>
      <c r="G6" s="16">
        <f>'Historical Financial Statement'!G18/'Historical Financial Statement'!F18-1</f>
        <v>0.12207796452790087</v>
      </c>
      <c r="H6" s="16">
        <f>'Historical Financial Statement'!H18/'Historical Financial Statement'!G18-1</f>
        <v>4.34877833395102E-2</v>
      </c>
      <c r="I6" s="16">
        <f>'Historical Financial Statement'!I18/'Historical Financial Statement'!H18-1</f>
        <v>-0.11780470379258412</v>
      </c>
      <c r="J6" s="16">
        <f>'Historical Financial Statement'!J18/'Historical Financial Statement'!I18-1</f>
        <v>0.20852129356487437</v>
      </c>
      <c r="K6" s="16">
        <f>'Historical Financial Statement'!K18/'Historical Financial Statement'!J18-1</f>
        <v>0.24637894792987503</v>
      </c>
      <c r="L6" s="16">
        <f>'Historical Financial Statement'!L18/'Historical Financial Statement'!K18-1</f>
        <v>-2.0102893450346215E-2</v>
      </c>
      <c r="M6" s="16">
        <f>'Historical Financial Statement'!M18/'Historical Financial Statement'!L18-1</f>
        <v>2.5882649072775266E-2</v>
      </c>
      <c r="O6" s="16">
        <f t="shared" ref="O6:O39" si="0">AVERAGE(D6:M6)</f>
        <v>7.121523965119389E-2</v>
      </c>
      <c r="P6" s="16">
        <f t="shared" ref="P6:P39" si="1">MEDIAN(D6:M6)</f>
        <v>6.4550847848362514E-2</v>
      </c>
    </row>
    <row r="7" spans="2:16" x14ac:dyDescent="0.3">
      <c r="B7" t="s">
        <v>90</v>
      </c>
      <c r="D7" t="s">
        <v>81</v>
      </c>
      <c r="E7" s="16">
        <f>'Historical Financial Statement'!E27/'Historical Financial Statement'!D27-1</f>
        <v>6.6666616826007274E-2</v>
      </c>
      <c r="F7" s="16">
        <f>'Historical Financial Statement'!F27/'Historical Financial Statement'!E27-1</f>
        <v>6.3192429888790924E-2</v>
      </c>
      <c r="G7" s="16">
        <f>'Historical Financial Statement'!G27/'Historical Financial Statement'!F27-1</f>
        <v>0.125258251863962</v>
      </c>
      <c r="H7" s="16">
        <f>'Historical Financial Statement'!H27/'Historical Financial Statement'!G27-1</f>
        <v>3.2096654945873881E-2</v>
      </c>
      <c r="I7" s="16">
        <f>'Historical Financial Statement'!I27/'Historical Financial Statement'!H27-1</f>
        <v>-0.12805801132412842</v>
      </c>
      <c r="J7" s="16">
        <f>'Historical Financial Statement'!J27/'Historical Financial Statement'!I27-1</f>
        <v>0.22586291974205142</v>
      </c>
      <c r="K7" s="16">
        <f>'Historical Financial Statement'!K27/'Historical Financial Statement'!J27-1</f>
        <v>0.26481844854825254</v>
      </c>
      <c r="L7" s="16">
        <f>'Historical Financial Statement'!L27/'Historical Financial Statement'!K27-1</f>
        <v>-7.8559948407639357E-3</v>
      </c>
      <c r="M7" s="16">
        <f>'Historical Financial Statement'!M27/'Historical Financial Statement'!L27-1</f>
        <v>2.1908247733742447E-2</v>
      </c>
      <c r="O7" s="16">
        <f t="shared" si="0"/>
        <v>7.3765507042643119E-2</v>
      </c>
      <c r="P7" s="16">
        <f t="shared" si="1"/>
        <v>6.3192429888790924E-2</v>
      </c>
    </row>
    <row r="8" spans="2:16" x14ac:dyDescent="0.3">
      <c r="B8" t="s">
        <v>91</v>
      </c>
      <c r="D8" t="s">
        <v>81</v>
      </c>
      <c r="E8" s="16">
        <f>'Data Sheet'!C31/'Data Sheet'!B31-1</f>
        <v>-0.15644462377853008</v>
      </c>
      <c r="F8" s="16">
        <f>'Data Sheet'!D31/'Data Sheet'!C31-1</f>
        <v>8.9287385485665505E-2</v>
      </c>
      <c r="G8" s="16">
        <f>'Data Sheet'!E31/'Data Sheet'!D31-1</f>
        <v>0.12147406371465697</v>
      </c>
      <c r="H8" s="16">
        <f>'Data Sheet'!F31/'Data Sheet'!E31-1</f>
        <v>0.770054052520323</v>
      </c>
      <c r="I8" s="16">
        <f>'Data Sheet'!G31/'Data Sheet'!F31-1</f>
        <v>6.0543834929123186E-2</v>
      </c>
      <c r="J8" s="16">
        <f>'Data Sheet'!H31/'Data Sheet'!G31-1</f>
        <v>7.1028026082303741E-2</v>
      </c>
      <c r="K8" s="16">
        <f>'Data Sheet'!I31/'Data Sheet'!H31-1</f>
        <v>0.35927687379161455</v>
      </c>
      <c r="L8" s="16">
        <f>'Data Sheet'!J31/'Data Sheet'!I31-1</f>
        <v>-0.1088561728459152</v>
      </c>
      <c r="M8" s="16">
        <f>'Data Sheet'!K31/'Data Sheet'!J31-1</f>
        <v>4.6093952975744701E-2</v>
      </c>
      <c r="O8" s="16">
        <f t="shared" si="0"/>
        <v>0.13916193254166515</v>
      </c>
      <c r="P8" s="16">
        <f t="shared" si="1"/>
        <v>7.1028026082303741E-2</v>
      </c>
    </row>
    <row r="9" spans="2:16" x14ac:dyDescent="0.3">
      <c r="B9" s="25" t="s">
        <v>92</v>
      </c>
      <c r="C9" s="25"/>
      <c r="D9" s="25" t="s">
        <v>81</v>
      </c>
      <c r="E9" s="34">
        <f>'Historical Financial Statement'!E33/'Historical Financial Statement'!D33-1</f>
        <v>8.7412303950609838E-2</v>
      </c>
      <c r="F9" s="34">
        <f>'Historical Financial Statement'!F33/'Historical Financial Statement'!E33-1</f>
        <v>6.127933383800177E-2</v>
      </c>
      <c r="G9" s="34">
        <f>'Historical Financial Statement'!G33/'Historical Financial Statement'!F33-1</f>
        <v>0.16239177682167782</v>
      </c>
      <c r="H9" s="34">
        <f>'Historical Financial Statement'!H33/'Historical Financial Statement'!G33-1</f>
        <v>0.22500199898470163</v>
      </c>
      <c r="I9" s="34">
        <f>'Historical Financial Statement'!I33/'Historical Financial Statement'!H33-1</f>
        <v>-0.17984419519318484</v>
      </c>
      <c r="J9" s="34">
        <f>'Historical Financial Statement'!J33/'Historical Financial Statement'!I33-1</f>
        <v>0.25795836175137099</v>
      </c>
      <c r="K9" s="34">
        <f>'Historical Financial Statement'!K33/'Historical Financial Statement'!J33-1</f>
        <v>0.27849303449244922</v>
      </c>
      <c r="L9" s="34">
        <f>'Historical Financial Statement'!L33/'Historical Financial Statement'!K33-1</f>
        <v>2.4069168218343595E-3</v>
      </c>
      <c r="M9" s="34">
        <f>'Historical Financial Statement'!M33/'Historical Financial Statement'!L33-1</f>
        <v>-9.3743667810697318E-3</v>
      </c>
      <c r="N9" s="25"/>
      <c r="O9" s="34">
        <f t="shared" si="0"/>
        <v>9.841390718737679E-2</v>
      </c>
      <c r="P9" s="34">
        <f t="shared" si="1"/>
        <v>8.7412303950609838E-2</v>
      </c>
    </row>
    <row r="11" spans="2:16" x14ac:dyDescent="0.3">
      <c r="B11" s="24" t="s">
        <v>93</v>
      </c>
      <c r="C11" s="24"/>
      <c r="D11" s="33">
        <f>'Historical Financial Statement'!D12/'Historical Financial Statement'!D6</f>
        <v>0.51105095159483671</v>
      </c>
      <c r="E11" s="33">
        <f>'Historical Financial Statement'!E12/'Historical Financial Statement'!E6</f>
        <v>0.48678158231932583</v>
      </c>
      <c r="F11" s="33">
        <f>'Historical Financial Statement'!F12/'Historical Financial Statement'!F6</f>
        <v>0.49440653788101624</v>
      </c>
      <c r="G11" s="33">
        <f>'Historical Financial Statement'!G12/'Historical Financial Statement'!G6</f>
        <v>0.49904508893126504</v>
      </c>
      <c r="H11" s="33">
        <f>'Historical Financial Statement'!H12/'Historical Financial Statement'!H6</f>
        <v>0.50735911978083614</v>
      </c>
      <c r="I11" s="33">
        <f>'Historical Financial Statement'!I12/'Historical Financial Statement'!I6</f>
        <v>0.45426509086442762</v>
      </c>
      <c r="J11" s="33">
        <f>'Historical Financial Statement'!J12/'Historical Financial Statement'!J6</f>
        <v>0.43848102401304379</v>
      </c>
      <c r="K11" s="33">
        <f>'Historical Financial Statement'!K12/'Historical Financial Statement'!K6</f>
        <v>0.45991745797989614</v>
      </c>
      <c r="L11" s="33">
        <f>'Historical Financial Statement'!L12/'Historical Financial Statement'!L6</f>
        <v>0.47497465845962877</v>
      </c>
      <c r="M11" s="33">
        <f>'Historical Financial Statement'!M12/'Historical Financial Statement'!M6</f>
        <v>0.44945072802135433</v>
      </c>
      <c r="N11" s="24"/>
      <c r="O11" s="33">
        <f t="shared" si="0"/>
        <v>0.47757322398456303</v>
      </c>
      <c r="P11" s="33">
        <f t="shared" si="1"/>
        <v>0.4808781203894773</v>
      </c>
    </row>
    <row r="12" spans="2:16" x14ac:dyDescent="0.3">
      <c r="B12" t="s">
        <v>94</v>
      </c>
      <c r="D12" s="16">
        <f>'Historical Financial Statement'!D18/'Historical Financial Statement'!D6</f>
        <v>0.37077599822413193</v>
      </c>
      <c r="E12" s="16">
        <f>'Historical Financial Statement'!E18/'Historical Financial Statement'!E6</f>
        <v>0.36171096811605047</v>
      </c>
      <c r="F12" s="16">
        <f>'Historical Financial Statement'!F18/'Historical Financial Statement'!F6</f>
        <v>0.38022998950031928</v>
      </c>
      <c r="G12" s="16">
        <f>'Historical Financial Statement'!G18/'Historical Financial Statement'!G6</f>
        <v>0.38348264507056118</v>
      </c>
      <c r="H12" s="16">
        <f>'Historical Financial Statement'!H18/'Historical Financial Statement'!H6</f>
        <v>0.39166715599228152</v>
      </c>
      <c r="I12" s="16">
        <f>'Historical Financial Statement'!I18/'Historical Financial Statement'!I6</f>
        <v>0.3464405891900616</v>
      </c>
      <c r="J12" s="16">
        <f>'Historical Financial Statement'!J18/'Historical Financial Statement'!J6</f>
        <v>0.34006606365552439</v>
      </c>
      <c r="K12" s="16">
        <f>'Historical Financial Statement'!K18/'Historical Financial Statement'!K6</f>
        <v>0.36244517162741785</v>
      </c>
      <c r="L12" s="16">
        <f>'Historical Financial Statement'!L18/'Historical Financial Statement'!L6</f>
        <v>0.37077595605248426</v>
      </c>
      <c r="M12" s="16">
        <f>'Historical Financial Statement'!M18/'Historical Financial Statement'!M6</f>
        <v>0.34304705553418102</v>
      </c>
      <c r="O12" s="16">
        <f t="shared" si="0"/>
        <v>0.36506415929630137</v>
      </c>
      <c r="P12" s="16">
        <f t="shared" si="1"/>
        <v>0.36661056383995105</v>
      </c>
    </row>
    <row r="13" spans="2:16" x14ac:dyDescent="0.3">
      <c r="B13" t="s">
        <v>95</v>
      </c>
      <c r="D13" s="16">
        <f>('Historical Financial Statement'!D18-'Historical Financial Statement'!D24)/'Historical Financial Statement'!D6</f>
        <v>0.34328576422289186</v>
      </c>
      <c r="E13" s="16">
        <f>('Historical Financial Statement'!E18-'Historical Financial Statement'!E24)/'Historical Financial Statement'!E6</f>
        <v>0.33475621732339439</v>
      </c>
      <c r="F13" s="16">
        <f>('Historical Financial Statement'!F18-'Historical Financial Statement'!F24)/'Historical Financial Statement'!F6</f>
        <v>0.35177636094229231</v>
      </c>
      <c r="G13" s="16">
        <f>('Historical Financial Statement'!G18-'Historical Financial Statement'!G24)/'Historical Financial Statement'!G6</f>
        <v>0.35459099975630731</v>
      </c>
      <c r="H13" s="16">
        <f>('Historical Financial Statement'!H18-'Historical Financial Statement'!H24)/'Historical Financial Statement'!H6</f>
        <v>0.35836108990700116</v>
      </c>
      <c r="I13" s="16">
        <f>('Historical Financial Statement'!I18-'Historical Financial Statement'!I24)/'Historical Financial Statement'!I6</f>
        <v>0.3130326478532689</v>
      </c>
      <c r="J13" s="16">
        <f>('Historical Financial Statement'!J18-'Historical Financial Statement'!J24)/'Historical Financial Statement'!J6</f>
        <v>0.31149943589315698</v>
      </c>
      <c r="K13" s="16">
        <f>('Historical Financial Statement'!K18-'Historical Financial Statement'!K24)/'Historical Financial Statement'!K6</f>
        <v>0.33693706752616326</v>
      </c>
      <c r="L13" s="16">
        <f>('Historical Financial Statement'!L18-'Historical Financial Statement'!L24)/'Historical Financial Statement'!L6</f>
        <v>0.34842932499793172</v>
      </c>
      <c r="M13" s="16">
        <f>('Historical Financial Statement'!M18-'Historical Financial Statement'!M24)/'Historical Financial Statement'!M6</f>
        <v>0.3211903508261848</v>
      </c>
      <c r="O13" s="16">
        <f t="shared" si="0"/>
        <v>0.33738592592485922</v>
      </c>
      <c r="P13" s="16">
        <f t="shared" si="1"/>
        <v>0.34011141587452753</v>
      </c>
    </row>
    <row r="14" spans="2:16" x14ac:dyDescent="0.3">
      <c r="B14" t="s">
        <v>96</v>
      </c>
      <c r="D14" s="16">
        <f>'Historical Financial Statement'!D27/'Historical Financial Statement'!D6</f>
        <v>0.34129225022389714</v>
      </c>
      <c r="E14" s="16">
        <f>'Historical Financial Statement'!E27/'Historical Financial Statement'!E6</f>
        <v>0.33360978871856267</v>
      </c>
      <c r="F14" s="16">
        <f>'Historical Financial Statement'!F27/'Historical Financial Statement'!F6</f>
        <v>0.34912934584825317</v>
      </c>
      <c r="G14" s="16">
        <f>'Historical Financial Statement'!G27/'Historical Financial Statement'!G6</f>
        <v>0.3531139492730388</v>
      </c>
      <c r="H14" s="16">
        <f>'Historical Financial Statement'!H27/'Historical Financial Statement'!H6</f>
        <v>0.35671331120906624</v>
      </c>
      <c r="I14" s="16">
        <f>'Historical Financial Statement'!I27/'Historical Financial Statement'!I6</f>
        <v>0.31185577004087706</v>
      </c>
      <c r="J14" s="16">
        <f>'Historical Financial Statement'!J27/'Historical Financial Statement'!J6</f>
        <v>0.31051022895053687</v>
      </c>
      <c r="K14" s="16">
        <f>'Historical Financial Statement'!K27/'Historical Financial Statement'!K6</f>
        <v>0.33584046482305235</v>
      </c>
      <c r="L14" s="16">
        <f>'Historical Financial Statement'!L27/'Historical Financial Statement'!L6</f>
        <v>0.34785360170782698</v>
      </c>
      <c r="M14" s="16">
        <f>'Historical Financial Statement'!M27/'Historical Financial Statement'!M6</f>
        <v>0.32059212987634372</v>
      </c>
      <c r="O14" s="16">
        <f t="shared" si="0"/>
        <v>0.33605108406714546</v>
      </c>
      <c r="P14" s="16">
        <f t="shared" si="1"/>
        <v>0.33856635752347475</v>
      </c>
    </row>
    <row r="15" spans="2:16" x14ac:dyDescent="0.3">
      <c r="B15" s="25" t="s">
        <v>97</v>
      </c>
      <c r="C15" s="25"/>
      <c r="D15" s="34">
        <f>'Historical Financial Statement'!D33/'Historical Financial Statement'!D6</f>
        <v>0.20457566703493815</v>
      </c>
      <c r="E15" s="34">
        <f>'Historical Financial Statement'!E33/'Historical Financial Statement'!E6</f>
        <v>0.20385993134990041</v>
      </c>
      <c r="F15" s="34">
        <f>'Historical Financial Statement'!F33/'Historical Financial Statement'!F6</f>
        <v>0.21295962571238797</v>
      </c>
      <c r="G15" s="34">
        <f>'Historical Financial Statement'!G33/'Historical Financial Statement'!G6</f>
        <v>0.22249800267193054</v>
      </c>
      <c r="H15" s="34">
        <f>'Historical Financial Statement'!H33/'Historical Financial Statement'!H6</f>
        <v>0.26677614061800814</v>
      </c>
      <c r="I15" s="34">
        <f>'Historical Financial Statement'!I33/'Historical Financial Statement'!I6</f>
        <v>0.21937656131204519</v>
      </c>
      <c r="J15" s="34">
        <f>'Historical Financial Statement'!J33/'Historical Financial Statement'!J6</f>
        <v>0.2241489505897809</v>
      </c>
      <c r="K15" s="34">
        <f>'Historical Financial Statement'!K33/'Historical Financial Statement'!K6</f>
        <v>0.24505524116728605</v>
      </c>
      <c r="L15" s="34">
        <f>'Historical Financial Statement'!L33/'Historical Financial Statement'!L6</f>
        <v>0.25644652574326599</v>
      </c>
      <c r="M15" s="34">
        <f>'Historical Financial Statement'!M33/'Historical Financial Statement'!M6</f>
        <v>0.22911357887209988</v>
      </c>
      <c r="N15" s="25"/>
      <c r="O15" s="34">
        <f t="shared" si="0"/>
        <v>0.22848102250716437</v>
      </c>
      <c r="P15" s="34">
        <f t="shared" si="1"/>
        <v>0.22332347663085572</v>
      </c>
    </row>
    <row r="17" spans="2:16" x14ac:dyDescent="0.3">
      <c r="B17" s="24" t="s">
        <v>98</v>
      </c>
      <c r="C17" s="24"/>
      <c r="D17" s="33">
        <f>'Historical Financial Statement'!D15/'Historical Financial Statement'!D6</f>
        <v>0.14027495337070481</v>
      </c>
      <c r="E17" s="33">
        <f>'Historical Financial Statement'!E15/'Historical Financial Statement'!E6</f>
        <v>0.12507061420327537</v>
      </c>
      <c r="F17" s="33">
        <f>'Historical Financial Statement'!F15/'Historical Financial Statement'!F6</f>
        <v>0.11417654838069698</v>
      </c>
      <c r="G17" s="33">
        <f>'Historical Financial Statement'!G15/'Historical Financial Statement'!G6</f>
        <v>0.11556244386070379</v>
      </c>
      <c r="H17" s="33">
        <f>'Historical Financial Statement'!H15/'Historical Financial Statement'!H6</f>
        <v>0.11569196378855465</v>
      </c>
      <c r="I17" s="33">
        <f>'Historical Financial Statement'!I15/'Historical Financial Statement'!I6</f>
        <v>0.10782450167436604</v>
      </c>
      <c r="J17" s="33">
        <f>'Historical Financial Statement'!J15/'Historical Financial Statement'!J6</f>
        <v>9.8414960357519399E-2</v>
      </c>
      <c r="K17" s="33">
        <f>'Historical Financial Statement'!K15/'Historical Financial Statement'!K6</f>
        <v>9.7472286352478302E-2</v>
      </c>
      <c r="L17" s="33">
        <f>'Historical Financial Statement'!L15/'Historical Financial Statement'!L6</f>
        <v>0.10419870240714456</v>
      </c>
      <c r="M17" s="33">
        <f>'Historical Financial Statement'!M15/'Historical Financial Statement'!M6</f>
        <v>0.10640367248717331</v>
      </c>
      <c r="N17" s="24"/>
      <c r="O17" s="33">
        <f t="shared" si="0"/>
        <v>0.11250906468826172</v>
      </c>
      <c r="P17" s="33">
        <f t="shared" si="1"/>
        <v>0.11100052502753151</v>
      </c>
    </row>
    <row r="18" spans="2:16" x14ac:dyDescent="0.3">
      <c r="B18" s="25" t="s">
        <v>99</v>
      </c>
      <c r="C18" s="25"/>
      <c r="D18" s="34">
        <f>'Historical Financial Statement'!D24/'Historical Financial Statement'!D6</f>
        <v>2.7490234001240049E-2</v>
      </c>
      <c r="E18" s="34">
        <f>'Historical Financial Statement'!E24/'Historical Financial Statement'!E6</f>
        <v>2.6954750792656124E-2</v>
      </c>
      <c r="F18" s="34">
        <f>'Historical Financial Statement'!F24/'Historical Financial Statement'!F6</f>
        <v>2.845362855802696E-2</v>
      </c>
      <c r="G18" s="34">
        <f>'Historical Financial Statement'!G24/'Historical Financial Statement'!G6</f>
        <v>2.8891645314253867E-2</v>
      </c>
      <c r="H18" s="34">
        <f>'Historical Financial Statement'!H24/'Historical Financial Statement'!H6</f>
        <v>3.3306066085280348E-2</v>
      </c>
      <c r="I18" s="34">
        <f>'Historical Financial Statement'!I24/'Historical Financial Statement'!I6</f>
        <v>3.3407941336792708E-2</v>
      </c>
      <c r="J18" s="34">
        <f>'Historical Financial Statement'!J24/'Historical Financial Statement'!J6</f>
        <v>2.8566627762367396E-2</v>
      </c>
      <c r="K18" s="34">
        <f>'Historical Financial Statement'!K24/'Historical Financial Statement'!K6</f>
        <v>2.550810410125463E-2</v>
      </c>
      <c r="L18" s="34">
        <f>'Historical Financial Statement'!L24/'Historical Financial Statement'!L6</f>
        <v>2.2346631054552542E-2</v>
      </c>
      <c r="M18" s="34">
        <f>'Historical Financial Statement'!M24/'Historical Financial Statement'!M6</f>
        <v>2.1856704707996222E-2</v>
      </c>
      <c r="N18" s="25"/>
      <c r="O18" s="34">
        <f t="shared" si="0"/>
        <v>2.7678233371442085E-2</v>
      </c>
      <c r="P18" s="34">
        <f t="shared" si="1"/>
        <v>2.7971931279633502E-2</v>
      </c>
    </row>
    <row r="19" spans="2:16" x14ac:dyDescent="0.3">
      <c r="D19" s="16"/>
      <c r="E19" s="16"/>
      <c r="F19" s="16"/>
      <c r="G19" s="16"/>
      <c r="H19" s="16"/>
      <c r="I19" s="16"/>
      <c r="J19" s="16"/>
      <c r="K19" s="16"/>
      <c r="L19" s="16"/>
      <c r="M19" s="16"/>
    </row>
    <row r="20" spans="2:16" x14ac:dyDescent="0.3">
      <c r="B20" s="24" t="s">
        <v>100</v>
      </c>
      <c r="C20" s="24"/>
      <c r="D20" s="33">
        <f>('Historical Financial Statement'!D18-'Historical Financial Statement'!D24)/('Historical Financial Statement'!D47+'Historical Financial Statement'!D48+'Historical Financial Statement'!D49)</f>
        <v>0.31461767450126626</v>
      </c>
      <c r="E20" s="33">
        <f>('Historical Financial Statement'!E18-'Historical Financial Statement'!E24)/('Historical Financial Statement'!E47+'Historical Financial Statement'!E48+'Historical Financial Statement'!E49)</f>
        <v>0.30816048249357225</v>
      </c>
      <c r="F20" s="33">
        <f>('Historical Financial Statement'!F18-'Historical Financial Statement'!F24)/('Historical Financial Statement'!F47+'Historical Financial Statement'!F48+'Historical Financial Statement'!F49)</f>
        <v>0.29087468644158282</v>
      </c>
      <c r="G20" s="33">
        <f>('Historical Financial Statement'!G18-'Historical Financial Statement'!G24)/('Historical Financial Statement'!G47+'Historical Financial Statement'!G48+'Historical Financial Statement'!G49)</f>
        <v>0.28976383969316855</v>
      </c>
      <c r="H20" s="33">
        <f>('Historical Financial Statement'!H18-'Historical Financial Statement'!H24)/('Historical Financial Statement'!H47+'Historical Financial Statement'!H48+'Historical Financial Statement'!H49)</f>
        <v>0.26999905874398611</v>
      </c>
      <c r="I20" s="33">
        <f>('Historical Financial Statement'!I18-'Historical Financial Statement'!I24)/('Historical Financial Statement'!I47+'Historical Financial Statement'!I48+'Historical Financial Statement'!I49)</f>
        <v>0.25436581143904541</v>
      </c>
      <c r="J20" s="33">
        <f>('Historical Financial Statement'!J18-'Historical Financial Statement'!J24)/('Historical Financial Statement'!J47+'Historical Financial Statement'!J48+'Historical Financial Statement'!J49)</f>
        <v>0.30126364703553982</v>
      </c>
      <c r="K20" s="33">
        <f>('Historical Financial Statement'!K18-'Historical Financial Statement'!K24)/('Historical Financial Statement'!K47+'Historical Financial Statement'!K48+'Historical Financial Statement'!K49)</f>
        <v>0.34400810235339674</v>
      </c>
      <c r="L20" s="33">
        <f>('Historical Financial Statement'!L18-'Historical Financial Statement'!L24)/('Historical Financial Statement'!L47+'Historical Financial Statement'!L48+'Historical Financial Statement'!L49)</f>
        <v>0.31639278106007412</v>
      </c>
      <c r="M20" s="33">
        <f>('Historical Financial Statement'!M18-'Historical Financial Statement'!M24)/('Historical Financial Statement'!M47+'Historical Financial Statement'!M48+'Historical Financial Statement'!M49)</f>
        <v>0.3440698438261533</v>
      </c>
      <c r="N20" s="24"/>
      <c r="O20" s="33">
        <f t="shared" si="0"/>
        <v>0.30335159275877849</v>
      </c>
      <c r="P20" s="33">
        <f t="shared" si="1"/>
        <v>0.30471206476455603</v>
      </c>
    </row>
    <row r="21" spans="2:16" x14ac:dyDescent="0.3">
      <c r="B21" t="s">
        <v>101</v>
      </c>
      <c r="D21" s="16">
        <f>'Historical Financial Statement'!D44</f>
        <v>0.14687786473761333</v>
      </c>
      <c r="E21" s="16">
        <f>'Historical Financial Statement'!E44</f>
        <v>0.33819420549170731</v>
      </c>
      <c r="F21" s="16">
        <f>'Historical Financial Statement'!F44</f>
        <v>0.32072859556008038</v>
      </c>
      <c r="G21" s="16">
        <f>'Historical Financial Statement'!G44</f>
        <v>0.34463983874236903</v>
      </c>
      <c r="H21" s="16">
        <f>'Historical Financial Statement'!H44</f>
        <v>5.3044068290594826E-2</v>
      </c>
      <c r="I21" s="16">
        <f>'Historical Financial Statement'!I44</f>
        <v>0</v>
      </c>
      <c r="J21" s="16">
        <f>'Historical Financial Statement'!J44</f>
        <v>0</v>
      </c>
      <c r="K21" s="16">
        <f>'Historical Financial Statement'!K44</f>
        <v>0</v>
      </c>
      <c r="L21" s="16">
        <f>'Historical Financial Statement'!L44</f>
        <v>1.460601082262647E-2</v>
      </c>
      <c r="M21" s="16">
        <f>'Historical Financial Statement'!M44</f>
        <v>0</v>
      </c>
      <c r="O21" s="16">
        <f t="shared" si="0"/>
        <v>0.12180905836449914</v>
      </c>
      <c r="P21" s="16">
        <f t="shared" si="1"/>
        <v>3.3825039556610648E-2</v>
      </c>
    </row>
    <row r="22" spans="2:16" x14ac:dyDescent="0.3">
      <c r="B22" t="s">
        <v>102</v>
      </c>
      <c r="D22" s="16">
        <f>'Historical Financial Statement'!D33/('Historical Financial Statement'!D47+'Historical Financial Statement'!D48)</f>
        <v>0.1878594229738291</v>
      </c>
      <c r="E22" s="16">
        <f>'Historical Financial Statement'!E33/('Historical Financial Statement'!E47+'Historical Financial Statement'!E48)</f>
        <v>0.18784851548911047</v>
      </c>
      <c r="F22" s="16">
        <f>'Historical Financial Statement'!F33/('Historical Financial Statement'!F47+'Historical Financial Statement'!F48)</f>
        <v>0.17621120961277748</v>
      </c>
      <c r="G22" s="16">
        <f>'Historical Financial Statement'!G33/('Historical Financial Statement'!G47+'Historical Financial Statement'!G48)</f>
        <v>0.18186171424262107</v>
      </c>
      <c r="H22" s="16">
        <f>'Historical Financial Statement'!H33/('Historical Financial Statement'!H47+'Historical Financial Statement'!H48)</f>
        <v>0.2018508038360578</v>
      </c>
      <c r="I22" s="16">
        <f>'Historical Financial Statement'!I33/('Historical Financial Statement'!I47+'Historical Financial Statement'!I48)</f>
        <v>0.17906224201431251</v>
      </c>
      <c r="J22" s="16">
        <f>'Historical Financial Statement'!J33/('Historical Financial Statement'!J47+'Historical Financial Statement'!J48)</f>
        <v>0.21764928252195909</v>
      </c>
      <c r="K22" s="16">
        <f>'Historical Financial Statement'!K33/('Historical Financial Statement'!K47+'Historical Financial Statement'!K48)</f>
        <v>0.25130525140097792</v>
      </c>
      <c r="L22" s="16">
        <f>'Historical Financial Statement'!L33/('Historical Financial Statement'!L47+'Historical Financial Statement'!L48)</f>
        <v>0.23381574885581222</v>
      </c>
      <c r="M22" s="16">
        <f>'Historical Financial Statement'!M33/('Historical Financial Statement'!M47+'Historical Financial Statement'!M48)</f>
        <v>0.2464313533975771</v>
      </c>
      <c r="O22" s="16">
        <f t="shared" si="0"/>
        <v>0.20638955443450349</v>
      </c>
      <c r="P22" s="16">
        <f t="shared" si="1"/>
        <v>0.19485511340494344</v>
      </c>
    </row>
    <row r="23" spans="2:16" x14ac:dyDescent="0.3">
      <c r="B23" t="s">
        <v>103</v>
      </c>
      <c r="D23" s="16">
        <f>D21*D22</f>
        <v>2.759239091723616E-2</v>
      </c>
      <c r="E23" s="16">
        <f t="shared" ref="E23:M23" si="2">E21*E22</f>
        <v>6.3529279448636386E-2</v>
      </c>
      <c r="F23" s="16">
        <f t="shared" si="2"/>
        <v>5.6515973781049056E-2</v>
      </c>
      <c r="G23" s="16">
        <f t="shared" si="2"/>
        <v>6.2676791869987716E-2</v>
      </c>
      <c r="H23" s="16">
        <f t="shared" si="2"/>
        <v>1.070698782319131E-2</v>
      </c>
      <c r="I23" s="16">
        <f t="shared" si="2"/>
        <v>0</v>
      </c>
      <c r="J23" s="16">
        <f t="shared" si="2"/>
        <v>0</v>
      </c>
      <c r="K23" s="16">
        <f t="shared" si="2"/>
        <v>0</v>
      </c>
      <c r="L23" s="16">
        <f t="shared" si="2"/>
        <v>3.4151153582885059E-3</v>
      </c>
      <c r="M23" s="16">
        <f t="shared" si="2"/>
        <v>0</v>
      </c>
      <c r="O23" s="16">
        <f t="shared" si="0"/>
        <v>2.2443653919838914E-2</v>
      </c>
      <c r="P23" s="16">
        <f t="shared" si="1"/>
        <v>7.0610515907399071E-3</v>
      </c>
    </row>
    <row r="24" spans="2:16" x14ac:dyDescent="0.3">
      <c r="B24" s="25" t="s">
        <v>104</v>
      </c>
      <c r="C24" s="25"/>
      <c r="D24" s="35">
        <f>('Historical Financial Statement'!D18-'Historical Financial Statement'!D24)/'Historical Financial Statement'!D21</f>
        <v>172.20133111480865</v>
      </c>
      <c r="E24" s="35">
        <f>('Historical Financial Statement'!E18-'Historical Financial Statement'!E24)/'Historical Financial Statement'!E21</f>
        <v>291.99918417295532</v>
      </c>
      <c r="F24" s="35">
        <f>('Historical Financial Statement'!F18-'Historical Financial Statement'!F24)/'Historical Financial Statement'!F21</f>
        <v>132.8954873489262</v>
      </c>
      <c r="G24" s="35">
        <f>('Historical Financial Statement'!G18-'Historical Financial Statement'!G24)/'Historical Financial Statement'!G21</f>
        <v>240.06694677871144</v>
      </c>
      <c r="H24" s="35">
        <f>('Historical Financial Statement'!H18-'Historical Financial Statement'!H24)/'Historical Financial Statement'!H21</f>
        <v>217.48132219218485</v>
      </c>
      <c r="I24" s="35">
        <f>('Historical Financial Statement'!I18-'Historical Financial Statement'!I24)/'Historical Financial Statement'!I21</f>
        <v>265.98568224943932</v>
      </c>
      <c r="J24" s="35">
        <f>('Historical Financial Statement'!J18-'Historical Financial Statement'!J24)/'Historical Financial Statement'!J21</f>
        <v>314.89814969161517</v>
      </c>
      <c r="K24" s="35">
        <f>('Historical Financial Statement'!K18-'Historical Financial Statement'!K24)/'Historical Financial Statement'!K21</f>
        <v>307.25536839398222</v>
      </c>
      <c r="L24" s="35">
        <f>('Historical Financial Statement'!L18-'Historical Financial Statement'!L24)/'Historical Financial Statement'!L21</f>
        <v>605.2027614420864</v>
      </c>
      <c r="M24" s="35">
        <f>('Historical Financial Statement'!M18-'Historical Financial Statement'!M24)/'Historical Financial Statement'!M21</f>
        <v>536.90923213493113</v>
      </c>
      <c r="N24" s="25"/>
      <c r="O24" s="34">
        <f t="shared" si="0"/>
        <v>308.48954655196405</v>
      </c>
      <c r="P24" s="34">
        <f t="shared" si="1"/>
        <v>278.99243321119729</v>
      </c>
    </row>
    <row r="26" spans="2:16" x14ac:dyDescent="0.3">
      <c r="B26" s="24" t="s">
        <v>105</v>
      </c>
      <c r="C26" s="24"/>
      <c r="D26" s="36">
        <f>'Historical Financial Statement'!D6/'Historical Financial Statement'!D59</f>
        <v>20.442577118476095</v>
      </c>
      <c r="E26" s="36">
        <f>'Historical Financial Statement'!E6/'Historical Financial Statement'!E59</f>
        <v>17.28479685081377</v>
      </c>
      <c r="F26" s="36">
        <f>'Historical Financial Statement'!F6/'Historical Financial Statement'!F59</f>
        <v>16.198449832046499</v>
      </c>
      <c r="G26" s="36">
        <f>'Historical Financial Statement'!G6/'Historical Financial Statement'!G59</f>
        <v>11.97923811978351</v>
      </c>
      <c r="H26" s="36">
        <f>'Historical Financial Statement'!H6/'Historical Financial Statement'!H59</f>
        <v>19.273399207018201</v>
      </c>
      <c r="I26" s="36">
        <f>'Historical Financial Statement'!I6/'Historical Financial Statement'!I59</f>
        <v>19.689591078066915</v>
      </c>
      <c r="J26" s="36">
        <f>'Historical Financial Statement'!J6/'Historical Financial Statement'!J59</f>
        <v>24.633226369876922</v>
      </c>
      <c r="K26" s="36">
        <f>'Historical Financial Statement'!K6/'Historical Financial Statement'!K59</f>
        <v>23.990173095593285</v>
      </c>
      <c r="L26" s="36">
        <f>'Historical Financial Statement'!L6/'Historical Financial Statement'!L59</f>
        <v>16.874062923826699</v>
      </c>
      <c r="M26" s="36">
        <f>'Historical Financial Statement'!M6/'Historical Financial Statement'!M59</f>
        <v>15.959450554805738</v>
      </c>
      <c r="N26" s="24"/>
      <c r="O26" s="33">
        <f t="shared" si="0"/>
        <v>18.632496515030763</v>
      </c>
      <c r="P26" s="33">
        <f t="shared" si="1"/>
        <v>18.279098028915985</v>
      </c>
    </row>
    <row r="27" spans="2:16" x14ac:dyDescent="0.3">
      <c r="B27" t="s">
        <v>106</v>
      </c>
      <c r="D27" s="19">
        <f>'Historical Financial Statement'!D6/'Historical Financial Statement'!D50</f>
        <v>4.4095323603404122</v>
      </c>
      <c r="E27" s="19">
        <f>'Historical Financial Statement'!E6/'Historical Financial Statement'!E50</f>
        <v>4.5306244815761563</v>
      </c>
      <c r="F27" s="19">
        <f>'Historical Financial Statement'!F6/'Historical Financial Statement'!F50</f>
        <v>3.7152199472417347</v>
      </c>
      <c r="G27" s="19">
        <f>'Historical Financial Statement'!G6/'Historical Financial Statement'!G50</f>
        <v>3.8411296865328062</v>
      </c>
      <c r="H27" s="19">
        <f>'Historical Financial Statement'!H6/'Historical Financial Statement'!H50</f>
        <v>4.1996200693194918</v>
      </c>
      <c r="I27" s="19">
        <f>'Historical Financial Statement'!I6/'Historical Financial Statement'!I50</f>
        <v>3.7479256371841467</v>
      </c>
      <c r="J27" s="19">
        <f>'Historical Financial Statement'!J6/'Historical Financial Statement'!J50</f>
        <v>4.1849767545533405</v>
      </c>
      <c r="K27" s="19">
        <f>'Historical Financial Statement'!K6/'Historical Financial Statement'!K50</f>
        <v>4.3323459375454343</v>
      </c>
      <c r="L27" s="19">
        <f>'Historical Financial Statement'!L6/'Historical Financial Statement'!L50</f>
        <v>4.0093121036099895</v>
      </c>
      <c r="M27" s="19">
        <f>'Historical Financial Statement'!M6/'Historical Financial Statement'!M50</f>
        <v>4.2584165295218082</v>
      </c>
      <c r="O27" s="16">
        <f t="shared" si="0"/>
        <v>4.122910350742532</v>
      </c>
      <c r="P27" s="16">
        <f t="shared" si="1"/>
        <v>4.1922984119364166</v>
      </c>
    </row>
    <row r="28" spans="2:16" x14ac:dyDescent="0.3">
      <c r="B28" t="s">
        <v>107</v>
      </c>
      <c r="D28" s="19">
        <f>'Historical Financial Statement'!D6/'Historical Financial Statement'!D60</f>
        <v>4.3248364065724276</v>
      </c>
      <c r="E28" s="19">
        <f>'Historical Financial Statement'!E6/'Historical Financial Statement'!E60</f>
        <v>5.2694767191138601</v>
      </c>
      <c r="F28" s="19">
        <f>'Historical Financial Statement'!F6/'Historical Financial Statement'!F60</f>
        <v>5.7969870942176813</v>
      </c>
      <c r="G28" s="19">
        <f>'Historical Financial Statement'!G6/'Historical Financial Statement'!G60</f>
        <v>6.1504180895622653</v>
      </c>
      <c r="H28" s="19">
        <f>'Historical Financial Statement'!H6/'Historical Financial Statement'!H60</f>
        <v>5.5620975906965953</v>
      </c>
      <c r="I28" s="19">
        <f>'Historical Financial Statement'!I6/'Historical Financial Statement'!I60</f>
        <v>4.7375869949101483</v>
      </c>
      <c r="J28" s="19">
        <f>'Historical Financial Statement'!J6/'Historical Financial Statement'!J60</f>
        <v>5.5820786715941884</v>
      </c>
      <c r="K28" s="19">
        <f>'Historical Financial Statement'!K6/'Historical Financial Statement'!K60</f>
        <v>6.0248123379514</v>
      </c>
      <c r="L28" s="19">
        <f>'Historical Financial Statement'!L6/'Historical Financial Statement'!L60</f>
        <v>4.7998668822176125</v>
      </c>
      <c r="M28" s="19">
        <f>'Historical Financial Statement'!M6/'Historical Financial Statement'!M60</f>
        <v>4.8168218059594974</v>
      </c>
      <c r="O28" s="16">
        <f t="shared" si="0"/>
        <v>5.306498259279568</v>
      </c>
      <c r="P28" s="16">
        <f t="shared" si="1"/>
        <v>5.4157871549052281</v>
      </c>
    </row>
    <row r="29" spans="2:16" x14ac:dyDescent="0.3">
      <c r="B29" t="s">
        <v>108</v>
      </c>
      <c r="D29" s="19">
        <f>'Historical Financial Statement'!D6/'Historical Financial Statement'!D53</f>
        <v>2.594364196382648</v>
      </c>
      <c r="E29" s="19">
        <f>'Historical Financial Statement'!E6/'Historical Financial Statement'!E53</f>
        <v>2.6908895974953251</v>
      </c>
      <c r="F29" s="19">
        <f>'Historical Financial Statement'!F6/'Historical Financial Statement'!F53</f>
        <v>2.6294508096122238</v>
      </c>
      <c r="G29" s="19">
        <f>'Historical Financial Statement'!G6/'Historical Financial Statement'!G53</f>
        <v>2.4950503737188501</v>
      </c>
      <c r="H29" s="19">
        <f>'Historical Financial Statement'!H6/'Historical Financial Statement'!H53</f>
        <v>2.2745326145125531</v>
      </c>
      <c r="I29" s="19">
        <f>'Historical Financial Statement'!I6/'Historical Financial Statement'!I53</f>
        <v>2.1141915695787881</v>
      </c>
      <c r="J29" s="19">
        <f>'Historical Financial Statement'!J6/'Historical Financial Statement'!J53</f>
        <v>2.5027057654904197</v>
      </c>
      <c r="K29" s="19">
        <f>'Historical Financial Statement'!K6/'Historical Financial Statement'!K53</f>
        <v>2.7433480057266046</v>
      </c>
      <c r="L29" s="19">
        <f>'Historical Financial Statement'!L6/'Historical Financial Statement'!L53</f>
        <v>2.4418189360112894</v>
      </c>
      <c r="M29" s="19">
        <f>'Historical Financial Statement'!M6/'Historical Financial Statement'!M53</f>
        <v>3.4308291789741219</v>
      </c>
      <c r="O29" s="16">
        <f t="shared" si="0"/>
        <v>2.5917181047502824</v>
      </c>
      <c r="P29" s="16">
        <f t="shared" si="1"/>
        <v>2.5485349809365339</v>
      </c>
    </row>
    <row r="30" spans="2:16" x14ac:dyDescent="0.3">
      <c r="B30" s="25" t="s">
        <v>109</v>
      </c>
      <c r="C30" s="25"/>
      <c r="D30" s="37">
        <f>'Historical Financial Statement'!D6/('Historical Financial Statement'!D47+'Historical Financial Statement'!D48)</f>
        <v>0.91828820942691003</v>
      </c>
      <c r="E30" s="37">
        <f>'Historical Financial Statement'!E6/('Historical Financial Statement'!E47+'Historical Financial Statement'!E48)</f>
        <v>0.92145874005368755</v>
      </c>
      <c r="F30" s="37">
        <f>'Historical Financial Statement'!F6/('Historical Financial Statement'!F47+'Historical Financial Statement'!F48)</f>
        <v>0.82743951593321752</v>
      </c>
      <c r="G30" s="37">
        <f>'Historical Financial Statement'!G6/('Historical Financial Statement'!G47+'Historical Financial Statement'!G48)</f>
        <v>0.81736335633885671</v>
      </c>
      <c r="H30" s="37">
        <f>'Historical Financial Statement'!H6/('Historical Financial Statement'!H47+'Historical Financial Statement'!H48)</f>
        <v>0.75662989714317919</v>
      </c>
      <c r="I30" s="37">
        <f>'Historical Financial Statement'!I6/('Historical Financial Statement'!I47+'Historical Financial Statement'!I48)</f>
        <v>0.81623233103563475</v>
      </c>
      <c r="J30" s="37">
        <f>'Historical Financial Statement'!J6/('Historical Financial Statement'!J47+'Historical Financial Statement'!J48)</f>
        <v>0.97100290654620558</v>
      </c>
      <c r="K30" s="37">
        <f>'Historical Financial Statement'!K6/('Historical Financial Statement'!K47+'Historical Financial Statement'!K48)</f>
        <v>1.0255044952473606</v>
      </c>
      <c r="L30" s="37">
        <f>'Historical Financial Statement'!L6/('Historical Financial Statement'!L47+'Historical Financial Statement'!L48)</f>
        <v>0.91175245278967076</v>
      </c>
      <c r="M30" s="37">
        <f>'Historical Financial Statement'!M6/('Historical Financial Statement'!M47+'Historical Financial Statement'!M48)</f>
        <v>1.075585980589761</v>
      </c>
      <c r="N30" s="25"/>
      <c r="O30" s="34">
        <f t="shared" si="0"/>
        <v>0.90412578851044834</v>
      </c>
      <c r="P30" s="34">
        <f t="shared" si="1"/>
        <v>0.9150203311082904</v>
      </c>
    </row>
    <row r="32" spans="2:16" x14ac:dyDescent="0.3">
      <c r="B32" s="24" t="s">
        <v>110</v>
      </c>
      <c r="C32" s="24"/>
      <c r="D32" s="38">
        <f>365/D26</f>
        <v>17.854891674597688</v>
      </c>
      <c r="E32" s="38">
        <f t="shared" ref="E32:M32" si="3">365/E26</f>
        <v>21.116823249375695</v>
      </c>
      <c r="F32" s="38">
        <f t="shared" si="3"/>
        <v>22.533020368275956</v>
      </c>
      <c r="G32" s="38">
        <f t="shared" si="3"/>
        <v>30.469383474163408</v>
      </c>
      <c r="H32" s="38">
        <f t="shared" si="3"/>
        <v>18.9380189804344</v>
      </c>
      <c r="I32" s="38">
        <f t="shared" si="3"/>
        <v>18.537713584442557</v>
      </c>
      <c r="J32" s="38">
        <f t="shared" si="3"/>
        <v>14.817385044061677</v>
      </c>
      <c r="K32" s="38">
        <f t="shared" si="3"/>
        <v>15.214563002342249</v>
      </c>
      <c r="L32" s="38">
        <f t="shared" si="3"/>
        <v>21.630830799179297</v>
      </c>
      <c r="M32" s="38">
        <f t="shared" si="3"/>
        <v>22.870461532906003</v>
      </c>
      <c r="N32" s="24"/>
      <c r="O32" s="33">
        <f t="shared" si="0"/>
        <v>20.398309170977896</v>
      </c>
      <c r="P32" s="33">
        <f t="shared" si="1"/>
        <v>20.027421114905046</v>
      </c>
    </row>
    <row r="33" spans="2:16" x14ac:dyDescent="0.3">
      <c r="B33" t="s">
        <v>111</v>
      </c>
      <c r="D33" s="20">
        <f>365/D27</f>
        <v>82.775217454538037</v>
      </c>
      <c r="E33" s="20">
        <f t="shared" ref="E33:M33" si="4">365/E27</f>
        <v>80.562845471805772</v>
      </c>
      <c r="F33" s="20">
        <f t="shared" si="4"/>
        <v>98.244519889322959</v>
      </c>
      <c r="G33" s="20">
        <f t="shared" si="4"/>
        <v>95.024128260940614</v>
      </c>
      <c r="H33" s="20">
        <f t="shared" si="4"/>
        <v>86.912623993423466</v>
      </c>
      <c r="I33" s="20">
        <f t="shared" si="4"/>
        <v>97.387204372130526</v>
      </c>
      <c r="J33" s="20">
        <f t="shared" si="4"/>
        <v>87.216732949083294</v>
      </c>
      <c r="K33" s="20">
        <f t="shared" si="4"/>
        <v>84.249966475852816</v>
      </c>
      <c r="L33" s="20">
        <f t="shared" si="4"/>
        <v>91.038061035795536</v>
      </c>
      <c r="M33" s="20">
        <f t="shared" si="4"/>
        <v>85.712611124254465</v>
      </c>
      <c r="O33" s="16">
        <f t="shared" si="0"/>
        <v>88.912391102714764</v>
      </c>
      <c r="P33" s="16">
        <f t="shared" si="1"/>
        <v>87.064678471253387</v>
      </c>
    </row>
    <row r="34" spans="2:16" x14ac:dyDescent="0.3">
      <c r="B34" t="s">
        <v>112</v>
      </c>
      <c r="D34" s="20">
        <f>365/D28</f>
        <v>84.39625587809789</v>
      </c>
      <c r="E34" s="20">
        <f t="shared" ref="E34:M34" si="5">365/E28</f>
        <v>69.266839850728118</v>
      </c>
      <c r="F34" s="20">
        <f t="shared" si="5"/>
        <v>62.963742038355825</v>
      </c>
      <c r="G34" s="20">
        <f t="shared" si="5"/>
        <v>59.345559063607922</v>
      </c>
      <c r="H34" s="20">
        <f t="shared" si="5"/>
        <v>65.622724888990575</v>
      </c>
      <c r="I34" s="20">
        <f t="shared" si="5"/>
        <v>77.043440129361144</v>
      </c>
      <c r="J34" s="20">
        <f t="shared" si="5"/>
        <v>65.387827989131424</v>
      </c>
      <c r="K34" s="20">
        <f t="shared" si="5"/>
        <v>60.582799849349321</v>
      </c>
      <c r="L34" s="20">
        <f t="shared" si="5"/>
        <v>76.043775578910299</v>
      </c>
      <c r="M34" s="20">
        <f t="shared" si="5"/>
        <v>75.776106051590389</v>
      </c>
      <c r="O34" s="16">
        <f t="shared" si="0"/>
        <v>69.642907131812294</v>
      </c>
      <c r="P34" s="16">
        <f t="shared" si="1"/>
        <v>67.444782369859354</v>
      </c>
    </row>
    <row r="35" spans="2:16" x14ac:dyDescent="0.3">
      <c r="B35" s="25" t="s">
        <v>113</v>
      </c>
      <c r="C35" s="25"/>
      <c r="D35" s="39">
        <f>D32+D34-D33</f>
        <v>19.475930098157548</v>
      </c>
      <c r="E35" s="39">
        <f t="shared" ref="E35:M35" si="6">E32+E34-E33</f>
        <v>9.8208176282980446</v>
      </c>
      <c r="F35" s="39">
        <f t="shared" si="6"/>
        <v>-12.747757482691185</v>
      </c>
      <c r="G35" s="39">
        <f t="shared" si="6"/>
        <v>-5.2091857231692842</v>
      </c>
      <c r="H35" s="39">
        <f t="shared" si="6"/>
        <v>-2.3518801239984839</v>
      </c>
      <c r="I35" s="39">
        <f t="shared" si="6"/>
        <v>-1.806050658326825</v>
      </c>
      <c r="J35" s="39">
        <f t="shared" si="6"/>
        <v>-7.0115199158901902</v>
      </c>
      <c r="K35" s="39">
        <f t="shared" si="6"/>
        <v>-8.4526036241612417</v>
      </c>
      <c r="L35" s="39">
        <f t="shared" si="6"/>
        <v>6.6365453422940561</v>
      </c>
      <c r="M35" s="39">
        <f t="shared" si="6"/>
        <v>12.93395646024193</v>
      </c>
      <c r="N35" s="25"/>
      <c r="O35" s="34">
        <f t="shared" si="0"/>
        <v>1.1288252000754369</v>
      </c>
      <c r="P35" s="34">
        <f t="shared" si="1"/>
        <v>-2.0789653911626544</v>
      </c>
    </row>
    <row r="37" spans="2:16" x14ac:dyDescent="0.3">
      <c r="B37" s="24" t="s">
        <v>114</v>
      </c>
      <c r="C37" s="24"/>
      <c r="D37" s="33">
        <f>'Historical Financial Statement'!D69/'Historical Financial Statement'!D6</f>
        <v>0.25002589807639808</v>
      </c>
      <c r="E37" s="33">
        <f>'Historical Financial Statement'!E69/'Historical Financial Statement'!E6</f>
        <v>0.2484897445729945</v>
      </c>
      <c r="F37" s="33">
        <f>'Historical Financial Statement'!F69/'Historical Financial Statement'!F6</f>
        <v>0.30310060498599045</v>
      </c>
      <c r="G37" s="33">
        <f>'Historical Financial Statement'!G69/'Historical Financial Statement'!G6</f>
        <v>0.26031277061157748</v>
      </c>
      <c r="H37" s="33">
        <f>'Historical Financial Statement'!H69/'Historical Financial Statement'!H6</f>
        <v>0.29743559631244221</v>
      </c>
      <c r="I37" s="33">
        <f>'Historical Financial Statement'!I69/'Historical Financial Statement'!I6</f>
        <v>0.25431625063822832</v>
      </c>
      <c r="J37" s="33">
        <f>'Historical Financial Statement'!J69/'Historical Financial Statement'!J6</f>
        <v>0.26013075538210034</v>
      </c>
      <c r="K37" s="33">
        <f>'Historical Financial Statement'!K69/'Historical Financial Statement'!K6</f>
        <v>0.26618454877343922</v>
      </c>
      <c r="L37" s="33">
        <f>'Historical Financial Statement'!L69/'Historical Financial Statement'!L6</f>
        <v>0.25288340065071013</v>
      </c>
      <c r="M37" s="33">
        <f>'Historical Financial Statement'!M69/'Historical Financial Statement'!M6</f>
        <v>0.23401830030373058</v>
      </c>
      <c r="N37" s="24"/>
      <c r="O37" s="33">
        <f t="shared" si="0"/>
        <v>0.26268978703076112</v>
      </c>
      <c r="P37" s="33">
        <f t="shared" si="1"/>
        <v>0.25722350301016433</v>
      </c>
    </row>
    <row r="38" spans="2:16" x14ac:dyDescent="0.3">
      <c r="B38" t="s">
        <v>115</v>
      </c>
      <c r="D38" s="16">
        <f>'Historical Financial Statement'!D69/'Historical Financial Statement'!D64</f>
        <v>0.18971511678109418</v>
      </c>
      <c r="E38" s="16">
        <f>'Historical Financial Statement'!E69/'Historical Financial Statement'!E64</f>
        <v>0.1901185939040744</v>
      </c>
      <c r="F38" s="16">
        <f>'Historical Financial Statement'!F69/'Historical Financial Statement'!F64</f>
        <v>0.20500030510167355</v>
      </c>
      <c r="G38" s="16">
        <f>'Historical Financial Statement'!G69/'Historical Financial Statement'!G64</f>
        <v>0.17540533020793139</v>
      </c>
      <c r="H38" s="16">
        <f>'Historical Financial Statement'!H69/'Historical Financial Statement'!H64</f>
        <v>0.19000798724627557</v>
      </c>
      <c r="I38" s="16">
        <f>'Historical Financial Statement'!I69/'Historical Financial Statement'!I64</f>
        <v>0.16983244207353612</v>
      </c>
      <c r="J38" s="16">
        <f>'Historical Financial Statement'!J69/'Historical Financial Statement'!J64</f>
        <v>0.20435651993457693</v>
      </c>
      <c r="K38" s="16">
        <f>'Historical Financial Statement'!K69/'Historical Financial Statement'!K64</f>
        <v>0.21993870277112126</v>
      </c>
      <c r="L38" s="16">
        <f>'Historical Financial Statement'!L69/'Historical Financial Statement'!L64</f>
        <v>0.18722743005016568</v>
      </c>
      <c r="M38" s="16">
        <f>'Historical Financial Statement'!M69/'Historical Financial Statement'!M64</f>
        <v>0.2003011271245087</v>
      </c>
      <c r="O38" s="16">
        <f t="shared" si="0"/>
        <v>0.19319035551949579</v>
      </c>
      <c r="P38" s="16">
        <f t="shared" si="1"/>
        <v>0.19006329057517499</v>
      </c>
    </row>
    <row r="39" spans="2:16" x14ac:dyDescent="0.3">
      <c r="B39" s="25" t="s">
        <v>116</v>
      </c>
      <c r="C39" s="25"/>
      <c r="D39" s="34">
        <f>'Historical Financial Statement'!D69/'Historical Financial Statement'!D49</f>
        <v>116.96156600620674</v>
      </c>
      <c r="E39" s="34">
        <f>'Historical Financial Statement'!E69/'Historical Financial Statement'!E49</f>
        <v>232.44335083114609</v>
      </c>
      <c r="F39" s="34">
        <f>'Historical Financial Statement'!F69/'Historical Financial Statement'!F49</f>
        <v>366.63140311804005</v>
      </c>
      <c r="G39" s="34">
        <f>'Historical Financial Statement'!G69/'Historical Financial Statement'!G49</f>
        <v>936.265625</v>
      </c>
      <c r="H39" s="34">
        <f>'Historical Financial Statement'!H69/'Historical Financial Statement'!H49</f>
        <v>52.945251396648047</v>
      </c>
      <c r="I39" s="34">
        <f>'Historical Financial Statement'!I69/'Historical Financial Statement'!I49</f>
        <v>46.253996972270429</v>
      </c>
      <c r="J39" s="34">
        <f>'Historical Financial Statement'!J69/'Historical Financial Statement'!J49</f>
        <v>63.243705901218732</v>
      </c>
      <c r="K39" s="34">
        <f>'Historical Financial Statement'!K69/'Historical Financial Statement'!K49</f>
        <v>61.683276695856748</v>
      </c>
      <c r="L39" s="34">
        <f>'Historical Financial Statement'!L69/'Historical Financial Statement'!L49</f>
        <v>56.615562073624886</v>
      </c>
      <c r="M39" s="34">
        <f>'Historical Financial Statement'!M69/'Historical Financial Statement'!M49</f>
        <v>61.94925142334997</v>
      </c>
      <c r="N39" s="25"/>
      <c r="O39" s="34">
        <f t="shared" si="0"/>
        <v>199.49929894183614</v>
      </c>
      <c r="P39" s="34">
        <f t="shared" si="1"/>
        <v>62.596478662284355</v>
      </c>
    </row>
  </sheetData>
  <mergeCells count="1">
    <mergeCell ref="B2:P2"/>
  </mergeCell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markers="1" xr2:uid="{E365D991-7447-422E-AA40-BD41FBD636D7}">
          <x14:colorSeries rgb="FF376092"/>
          <x14:colorNegative rgb="FFD00000"/>
          <x14:colorAxis rgb="FF000000"/>
          <x14:colorMarkers rgb="FFD00000"/>
          <x14:colorFirst rgb="FFD00000"/>
          <x14:colorLast rgb="FFD00000"/>
          <x14:colorHigh rgb="FFD00000"/>
          <x14:colorLow rgb="FFD00000"/>
          <x14:sparklines>
            <x14:sparkline>
              <xm:f>'Ratio Analysis'!D5:M5</xm:f>
              <xm:sqref>N5</xm:sqref>
            </x14:sparkline>
            <x14:sparkline>
              <xm:f>'Ratio Analysis'!D6:M6</xm:f>
              <xm:sqref>N6</xm:sqref>
            </x14:sparkline>
            <x14:sparkline>
              <xm:f>'Ratio Analysis'!D7:M7</xm:f>
              <xm:sqref>N7</xm:sqref>
            </x14:sparkline>
            <x14:sparkline>
              <xm:f>'Ratio Analysis'!D8:M8</xm:f>
              <xm:sqref>N8</xm:sqref>
            </x14:sparkline>
            <x14:sparkline>
              <xm:f>'Ratio Analysis'!D9:M9</xm:f>
              <xm:sqref>N9</xm:sqref>
            </x14:sparkline>
            <x14:sparkline>
              <xm:f>'Ratio Analysis'!D10:M10</xm:f>
              <xm:sqref>N10</xm:sqref>
            </x14:sparkline>
            <x14:sparkline>
              <xm:f>'Ratio Analysis'!D11:M11</xm:f>
              <xm:sqref>N11</xm:sqref>
            </x14:sparkline>
            <x14:sparkline>
              <xm:f>'Ratio Analysis'!D12:M12</xm:f>
              <xm:sqref>N12</xm:sqref>
            </x14:sparkline>
            <x14:sparkline>
              <xm:f>'Ratio Analysis'!D13:M13</xm:f>
              <xm:sqref>N13</xm:sqref>
            </x14:sparkline>
            <x14:sparkline>
              <xm:f>'Ratio Analysis'!D14:M14</xm:f>
              <xm:sqref>N14</xm:sqref>
            </x14:sparkline>
            <x14:sparkline>
              <xm:f>'Ratio Analysis'!D15:M15</xm:f>
              <xm:sqref>N15</xm:sqref>
            </x14:sparkline>
            <x14:sparkline>
              <xm:f>'Ratio Analysis'!D16:M16</xm:f>
              <xm:sqref>N16</xm:sqref>
            </x14:sparkline>
            <x14:sparkline>
              <xm:f>'Ratio Analysis'!D17:M17</xm:f>
              <xm:sqref>N17</xm:sqref>
            </x14:sparkline>
            <x14:sparkline>
              <xm:f>'Ratio Analysis'!D18:M18</xm:f>
              <xm:sqref>N18</xm:sqref>
            </x14:sparkline>
            <x14:sparkline>
              <xm:f>'Ratio Analysis'!D19:M19</xm:f>
              <xm:sqref>N19</xm:sqref>
            </x14:sparkline>
            <x14:sparkline>
              <xm:f>'Ratio Analysis'!D20:M20</xm:f>
              <xm:sqref>N20</xm:sqref>
            </x14:sparkline>
            <x14:sparkline>
              <xm:f>'Ratio Analysis'!D21:M21</xm:f>
              <xm:sqref>N21</xm:sqref>
            </x14:sparkline>
            <x14:sparkline>
              <xm:f>'Ratio Analysis'!D22:M22</xm:f>
              <xm:sqref>N22</xm:sqref>
            </x14:sparkline>
            <x14:sparkline>
              <xm:f>'Ratio Analysis'!D23:M23</xm:f>
              <xm:sqref>N23</xm:sqref>
            </x14:sparkline>
            <x14:sparkline>
              <xm:f>'Ratio Analysis'!D24:M24</xm:f>
              <xm:sqref>N24</xm:sqref>
            </x14:sparkline>
            <x14:sparkline>
              <xm:f>'Ratio Analysis'!D25:M25</xm:f>
              <xm:sqref>N25</xm:sqref>
            </x14:sparkline>
            <x14:sparkline>
              <xm:f>'Ratio Analysis'!D26:M26</xm:f>
              <xm:sqref>N26</xm:sqref>
            </x14:sparkline>
            <x14:sparkline>
              <xm:f>'Ratio Analysis'!D27:M27</xm:f>
              <xm:sqref>N27</xm:sqref>
            </x14:sparkline>
            <x14:sparkline>
              <xm:f>'Ratio Analysis'!D28:M28</xm:f>
              <xm:sqref>N28</xm:sqref>
            </x14:sparkline>
            <x14:sparkline>
              <xm:f>'Ratio Analysis'!D29:M29</xm:f>
              <xm:sqref>N29</xm:sqref>
            </x14:sparkline>
            <x14:sparkline>
              <xm:f>'Ratio Analysis'!D30:M30</xm:f>
              <xm:sqref>N30</xm:sqref>
            </x14:sparkline>
            <x14:sparkline>
              <xm:f>'Ratio Analysis'!D31:M31</xm:f>
              <xm:sqref>N31</xm:sqref>
            </x14:sparkline>
            <x14:sparkline>
              <xm:f>'Ratio Analysis'!D32:M32</xm:f>
              <xm:sqref>N32</xm:sqref>
            </x14:sparkline>
            <x14:sparkline>
              <xm:f>'Ratio Analysis'!D33:M33</xm:f>
              <xm:sqref>N33</xm:sqref>
            </x14:sparkline>
            <x14:sparkline>
              <xm:f>'Ratio Analysis'!D34:M34</xm:f>
              <xm:sqref>N34</xm:sqref>
            </x14:sparkline>
            <x14:sparkline>
              <xm:f>'Ratio Analysis'!D35:M35</xm:f>
              <xm:sqref>N35</xm:sqref>
            </x14:sparkline>
            <x14:sparkline>
              <xm:f>'Ratio Analysis'!D36:M36</xm:f>
              <xm:sqref>N36</xm:sqref>
            </x14:sparkline>
            <x14:sparkline>
              <xm:f>'Ratio Analysis'!D37:M37</xm:f>
              <xm:sqref>N37</xm:sqref>
            </x14:sparkline>
            <x14:sparkline>
              <xm:f>'Ratio Analysis'!D38:M38</xm:f>
              <xm:sqref>N38</xm:sqref>
            </x14:sparkline>
            <x14:sparkline>
              <xm:f>'Ratio Analysis'!D39:M39</xm:f>
              <xm:sqref>N39</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472ED-D394-4C94-BC05-E9E1D5FBC1EC}">
  <dimension ref="B2:J74"/>
  <sheetViews>
    <sheetView topLeftCell="A49" workbookViewId="0">
      <selection activeCell="C75" sqref="C75"/>
    </sheetView>
  </sheetViews>
  <sheetFormatPr defaultRowHeight="14.4" x14ac:dyDescent="0.3"/>
  <cols>
    <col min="1" max="1" width="1.88671875" customWidth="1"/>
    <col min="2" max="2" width="14.33203125" customWidth="1"/>
    <col min="5" max="5" width="13.5546875" customWidth="1"/>
  </cols>
  <sheetData>
    <row r="2" spans="2:10" x14ac:dyDescent="0.3">
      <c r="B2" s="49" t="str">
        <f>"Forecasting - "&amp;'Data Sheet'!B1</f>
        <v>Forecasting - ITC LTD</v>
      </c>
      <c r="C2" s="49"/>
      <c r="D2" s="49"/>
      <c r="E2" s="49"/>
      <c r="F2" s="49"/>
      <c r="G2" s="49"/>
      <c r="H2" s="49"/>
      <c r="I2" s="49"/>
      <c r="J2" s="49"/>
    </row>
    <row r="4" spans="2:10" x14ac:dyDescent="0.3">
      <c r="B4" s="49" t="str">
        <f>"Sales Forecasting - "&amp;'Data Sheet'!B1</f>
        <v>Sales Forecasting - ITC LTD</v>
      </c>
      <c r="C4" s="49"/>
      <c r="D4" s="49"/>
      <c r="E4" s="49"/>
    </row>
    <row r="5" spans="2:10" x14ac:dyDescent="0.3">
      <c r="B5" s="22" t="s">
        <v>117</v>
      </c>
      <c r="C5" s="22" t="s">
        <v>82</v>
      </c>
      <c r="D5" s="22" t="s">
        <v>1</v>
      </c>
      <c r="E5" s="22" t="s">
        <v>55</v>
      </c>
    </row>
    <row r="6" spans="2:10" x14ac:dyDescent="0.3">
      <c r="B6" s="23" cm="1">
        <f t="array" ref="B6:B20">_xlfn.SEQUENCE(15)</f>
        <v>1</v>
      </c>
      <c r="C6" s="27">
        <v>2016</v>
      </c>
      <c r="D6" s="23" cm="1">
        <f t="array" ref="D6:D15">TRANSPOSE('Historical Financial Statement'!D6:M6)</f>
        <v>39192.1</v>
      </c>
      <c r="E6" s="28" t="str" cm="1">
        <f t="array" ref="E6:E15">TRANSPOSE('Historical Financial Statement'!D7:M7)</f>
        <v>NA</v>
      </c>
    </row>
    <row r="7" spans="2:10" x14ac:dyDescent="0.3">
      <c r="B7" s="23">
        <v>2</v>
      </c>
      <c r="C7" s="27">
        <v>2017</v>
      </c>
      <c r="D7" s="23">
        <v>42767.6</v>
      </c>
      <c r="E7" s="28">
        <v>9.1230120355888067E-2</v>
      </c>
    </row>
    <row r="8" spans="2:10" x14ac:dyDescent="0.3">
      <c r="B8" s="23">
        <v>3</v>
      </c>
      <c r="C8" s="27">
        <v>2018</v>
      </c>
      <c r="D8" s="23">
        <v>43448.94</v>
      </c>
      <c r="E8" s="28">
        <v>1.5931218960147486E-2</v>
      </c>
    </row>
    <row r="9" spans="2:10" x14ac:dyDescent="0.3">
      <c r="B9" s="23">
        <v>4</v>
      </c>
      <c r="C9" s="27">
        <v>2019</v>
      </c>
      <c r="D9" s="23">
        <v>48339.58</v>
      </c>
      <c r="E9" s="28">
        <v>0.11256062863673999</v>
      </c>
    </row>
    <row r="10" spans="2:10" x14ac:dyDescent="0.3">
      <c r="B10" s="23">
        <v>5</v>
      </c>
      <c r="C10" s="27">
        <v>2020</v>
      </c>
      <c r="D10" s="23">
        <v>49387.7</v>
      </c>
      <c r="E10" s="28">
        <v>2.1682439110972673E-2</v>
      </c>
    </row>
    <row r="11" spans="2:10" x14ac:dyDescent="0.3">
      <c r="B11" s="23">
        <v>6</v>
      </c>
      <c r="C11" s="27">
        <v>2021</v>
      </c>
      <c r="D11" s="23">
        <v>49257.45</v>
      </c>
      <c r="E11" s="28">
        <v>-2.6372963308678443E-3</v>
      </c>
    </row>
    <row r="12" spans="2:10" x14ac:dyDescent="0.3">
      <c r="B12" s="23">
        <v>7</v>
      </c>
      <c r="C12" s="27">
        <v>2022</v>
      </c>
      <c r="D12" s="23">
        <v>60644.54</v>
      </c>
      <c r="E12" s="28">
        <v>0.23117497962237188</v>
      </c>
    </row>
    <row r="13" spans="2:10" x14ac:dyDescent="0.3">
      <c r="B13" s="23">
        <v>8</v>
      </c>
      <c r="C13" s="27">
        <v>2023</v>
      </c>
      <c r="D13" s="23">
        <v>70919.03</v>
      </c>
      <c r="E13" s="28">
        <v>0.1694215175842706</v>
      </c>
    </row>
    <row r="14" spans="2:10" x14ac:dyDescent="0.3">
      <c r="B14" s="23">
        <v>9</v>
      </c>
      <c r="C14" s="27">
        <v>2024</v>
      </c>
      <c r="D14" s="23">
        <v>67931.94</v>
      </c>
      <c r="E14" s="28">
        <v>-4.2119724423754779E-2</v>
      </c>
    </row>
    <row r="15" spans="2:10" x14ac:dyDescent="0.3">
      <c r="B15" s="23">
        <v>10</v>
      </c>
      <c r="C15" s="27">
        <v>2025</v>
      </c>
      <c r="D15" s="23">
        <v>75323.34</v>
      </c>
      <c r="E15" s="28">
        <v>0.10880596078957838</v>
      </c>
    </row>
    <row r="16" spans="2:10" x14ac:dyDescent="0.3">
      <c r="B16" s="23">
        <v>11</v>
      </c>
      <c r="C16" s="29">
        <v>2026</v>
      </c>
      <c r="D16" s="23">
        <f>FORECAST(B16,_xlfn.ANCHORARRAY($D$6),$B$6:$B$15)</f>
        <v>77236.775999999998</v>
      </c>
      <c r="E16" s="28">
        <f>D16/D15-1</f>
        <v>2.5402962747005153E-2</v>
      </c>
    </row>
    <row r="17" spans="2:5" x14ac:dyDescent="0.3">
      <c r="B17" s="23">
        <v>12</v>
      </c>
      <c r="C17" s="29">
        <v>2027</v>
      </c>
      <c r="D17" s="23">
        <f t="shared" ref="D17:D20" si="0">FORECAST(B17,_xlfn.ANCHORARRAY($D$6),$B$6:$B$15)</f>
        <v>81330.51309090908</v>
      </c>
      <c r="E17" s="28">
        <f t="shared" ref="E17:E20" si="1">D17/D16-1</f>
        <v>5.3002433593410059E-2</v>
      </c>
    </row>
    <row r="18" spans="2:5" x14ac:dyDescent="0.3">
      <c r="B18" s="23">
        <v>13</v>
      </c>
      <c r="C18" s="29">
        <v>2028</v>
      </c>
      <c r="D18" s="23">
        <f t="shared" si="0"/>
        <v>85424.250181818177</v>
      </c>
      <c r="E18" s="28">
        <f t="shared" si="1"/>
        <v>5.0334578442081446E-2</v>
      </c>
    </row>
    <row r="19" spans="2:5" x14ac:dyDescent="0.3">
      <c r="B19" s="23">
        <v>14</v>
      </c>
      <c r="C19" s="29">
        <v>2029</v>
      </c>
      <c r="D19" s="23">
        <f t="shared" si="0"/>
        <v>89517.987272727274</v>
      </c>
      <c r="E19" s="28">
        <f t="shared" si="1"/>
        <v>4.7922423459332952E-2</v>
      </c>
    </row>
    <row r="20" spans="2:5" x14ac:dyDescent="0.3">
      <c r="B20" s="23">
        <v>15</v>
      </c>
      <c r="C20" s="29">
        <v>2030</v>
      </c>
      <c r="D20" s="23">
        <f t="shared" si="0"/>
        <v>93611.724363636371</v>
      </c>
      <c r="E20" s="28">
        <f t="shared" si="1"/>
        <v>4.5730888457501173E-2</v>
      </c>
    </row>
    <row r="22" spans="2:5" x14ac:dyDescent="0.3">
      <c r="B22" s="49" t="str">
        <f>"EBITDA Forecasting - "&amp;'Data Sheet'!B1</f>
        <v>EBITDA Forecasting - ITC LTD</v>
      </c>
      <c r="C22" s="49"/>
      <c r="D22" s="49"/>
      <c r="E22" s="49"/>
    </row>
    <row r="23" spans="2:5" x14ac:dyDescent="0.3">
      <c r="B23" s="22" t="s">
        <v>117</v>
      </c>
      <c r="C23" s="22" t="s">
        <v>82</v>
      </c>
      <c r="D23" s="22" t="s">
        <v>62</v>
      </c>
      <c r="E23" s="22" t="s">
        <v>89</v>
      </c>
    </row>
    <row r="24" spans="2:5" x14ac:dyDescent="0.3">
      <c r="B24" s="23" cm="1">
        <f t="array" ref="B24:B38">_xlfn.SEQUENCE(15)</f>
        <v>1</v>
      </c>
      <c r="C24" s="23">
        <v>2016</v>
      </c>
      <c r="D24" s="23" cm="1">
        <f t="array" ref="D24:D33">TRANSPOSE('Historical Financial Statement'!D18:M18)</f>
        <v>14531.49</v>
      </c>
      <c r="E24" s="28" t="str" cm="1">
        <f t="array" ref="E24:E33">TRANSPOSE('Ratio Analysis'!D6:M6)</f>
        <v>NA</v>
      </c>
    </row>
    <row r="25" spans="2:5" x14ac:dyDescent="0.3">
      <c r="B25" s="23">
        <v>2</v>
      </c>
      <c r="C25" s="23">
        <v>2017</v>
      </c>
      <c r="D25" s="23">
        <v>15469.51</v>
      </c>
      <c r="E25" s="28">
        <v>6.4550847848362514E-2</v>
      </c>
    </row>
    <row r="26" spans="2:5" x14ac:dyDescent="0.3">
      <c r="B26" s="23">
        <v>3</v>
      </c>
      <c r="C26" s="23">
        <v>2018</v>
      </c>
      <c r="D26" s="23">
        <v>16520.590000000004</v>
      </c>
      <c r="E26" s="28">
        <v>6.7945267820377131E-2</v>
      </c>
    </row>
    <row r="27" spans="2:5" x14ac:dyDescent="0.3">
      <c r="B27" s="23">
        <v>4</v>
      </c>
      <c r="C27" s="23">
        <v>2019</v>
      </c>
      <c r="D27" s="23">
        <v>18537.39</v>
      </c>
      <c r="E27" s="28">
        <v>0.12207796452790087</v>
      </c>
    </row>
    <row r="28" spans="2:5" x14ac:dyDescent="0.3">
      <c r="B28" s="23">
        <v>5</v>
      </c>
      <c r="C28" s="23">
        <v>2020</v>
      </c>
      <c r="D28" s="23">
        <v>19343.54</v>
      </c>
      <c r="E28" s="28">
        <v>4.34877833395102E-2</v>
      </c>
    </row>
    <row r="29" spans="2:5" x14ac:dyDescent="0.3">
      <c r="B29" s="23">
        <v>6</v>
      </c>
      <c r="C29" s="23">
        <v>2021</v>
      </c>
      <c r="D29" s="23">
        <v>17064.78</v>
      </c>
      <c r="E29" s="28">
        <v>-0.11780470379258412</v>
      </c>
    </row>
    <row r="30" spans="2:5" x14ac:dyDescent="0.3">
      <c r="B30" s="23">
        <v>7</v>
      </c>
      <c r="C30" s="23">
        <v>2022</v>
      </c>
      <c r="D30" s="23">
        <v>20623.149999999994</v>
      </c>
      <c r="E30" s="28">
        <v>0.20852129356487437</v>
      </c>
    </row>
    <row r="31" spans="2:5" x14ac:dyDescent="0.3">
      <c r="B31" s="23">
        <v>8</v>
      </c>
      <c r="C31" s="23">
        <v>2023</v>
      </c>
      <c r="D31" s="23">
        <v>25704.259999999995</v>
      </c>
      <c r="E31" s="28">
        <v>0.24637894792987503</v>
      </c>
    </row>
    <row r="32" spans="2:5" x14ac:dyDescent="0.3">
      <c r="B32" s="23">
        <v>9</v>
      </c>
      <c r="C32" s="23">
        <v>2024</v>
      </c>
      <c r="D32" s="23">
        <v>25187.53</v>
      </c>
      <c r="E32" s="28">
        <v>-2.0102893450346215E-2</v>
      </c>
    </row>
    <row r="33" spans="2:5" x14ac:dyDescent="0.3">
      <c r="B33" s="23">
        <v>10</v>
      </c>
      <c r="C33" s="23">
        <v>2025</v>
      </c>
      <c r="D33" s="23">
        <v>25839.449999999997</v>
      </c>
      <c r="E33" s="28">
        <v>2.5882649072775266E-2</v>
      </c>
    </row>
    <row r="34" spans="2:5" x14ac:dyDescent="0.3">
      <c r="B34" s="23">
        <v>11</v>
      </c>
      <c r="C34" s="23">
        <v>2026</v>
      </c>
      <c r="D34" s="23">
        <f>FORECAST(B34,_xlfn.ANCHORARRAY($D$24),$B$24:$B$33)</f>
        <v>27205.324000000001</v>
      </c>
      <c r="E34" s="28">
        <f>D34/D33-1</f>
        <v>5.2860026045446151E-2</v>
      </c>
    </row>
    <row r="35" spans="2:5" x14ac:dyDescent="0.3">
      <c r="B35" s="23">
        <v>12</v>
      </c>
      <c r="C35" s="23">
        <v>2027</v>
      </c>
      <c r="D35" s="23">
        <f t="shared" ref="D35:D38" si="2">FORECAST(B35,_xlfn.ANCHORARRAY($D$24),$B$24:$B$33)</f>
        <v>28536.806727272728</v>
      </c>
      <c r="E35" s="28">
        <f t="shared" ref="E35:E38" si="3">D35/D34-1</f>
        <v>4.8941991180576627E-2</v>
      </c>
    </row>
    <row r="36" spans="2:5" x14ac:dyDescent="0.3">
      <c r="B36" s="23">
        <v>13</v>
      </c>
      <c r="C36" s="23">
        <v>2028</v>
      </c>
      <c r="D36" s="23">
        <f t="shared" si="2"/>
        <v>29868.289454545451</v>
      </c>
      <c r="E36" s="28">
        <f t="shared" si="3"/>
        <v>4.6658434491208212E-2</v>
      </c>
    </row>
    <row r="37" spans="2:5" x14ac:dyDescent="0.3">
      <c r="B37" s="23">
        <v>14</v>
      </c>
      <c r="C37" s="23">
        <v>2029</v>
      </c>
      <c r="D37" s="23">
        <f t="shared" si="2"/>
        <v>31199.772181818178</v>
      </c>
      <c r="E37" s="28">
        <f t="shared" si="3"/>
        <v>4.4578472741099606E-2</v>
      </c>
    </row>
    <row r="38" spans="2:5" x14ac:dyDescent="0.3">
      <c r="B38" s="23">
        <v>15</v>
      </c>
      <c r="C38" s="23">
        <v>2030</v>
      </c>
      <c r="D38" s="23">
        <f t="shared" si="2"/>
        <v>32531.254909090905</v>
      </c>
      <c r="E38" s="28">
        <f t="shared" si="3"/>
        <v>4.2676040052903152E-2</v>
      </c>
    </row>
    <row r="40" spans="2:5" x14ac:dyDescent="0.3">
      <c r="B40" s="49" t="str">
        <f>"EBT Forecasting - "&amp;'Data Sheet'!B1</f>
        <v>EBT Forecasting - ITC LTD</v>
      </c>
      <c r="C40" s="49"/>
      <c r="D40" s="49"/>
      <c r="E40" s="49"/>
    </row>
    <row r="41" spans="2:5" x14ac:dyDescent="0.3">
      <c r="B41" s="22" t="s">
        <v>117</v>
      </c>
      <c r="C41" s="22" t="s">
        <v>82</v>
      </c>
      <c r="D41" s="22" t="s">
        <v>66</v>
      </c>
      <c r="E41" s="22" t="s">
        <v>90</v>
      </c>
    </row>
    <row r="42" spans="2:5" x14ac:dyDescent="0.3">
      <c r="B42" s="23" cm="1">
        <f t="array" ref="B42:B56">_xlfn.SEQUENCE(15)</f>
        <v>1</v>
      </c>
      <c r="C42" s="23">
        <v>2016</v>
      </c>
      <c r="D42" s="23" cm="1">
        <f t="array" ref="D42:D51">TRANSPOSE('Historical Financial Statement'!D27:M27)</f>
        <v>13375.96</v>
      </c>
      <c r="E42" s="28" t="str" cm="1">
        <f t="array" ref="E42:E51">TRANSPOSE('Ratio Analysis'!D7:M7)</f>
        <v>NA</v>
      </c>
    </row>
    <row r="43" spans="2:5" x14ac:dyDescent="0.3">
      <c r="B43" s="23">
        <v>2</v>
      </c>
      <c r="C43" s="23">
        <v>2017</v>
      </c>
      <c r="D43" s="23">
        <v>14267.69</v>
      </c>
      <c r="E43" s="28">
        <v>6.6666616826007274E-2</v>
      </c>
    </row>
    <row r="44" spans="2:5" x14ac:dyDescent="0.3">
      <c r="B44" s="23">
        <v>3</v>
      </c>
      <c r="C44" s="23">
        <v>2018</v>
      </c>
      <c r="D44" s="23">
        <v>15169.300000000003</v>
      </c>
      <c r="E44" s="28">
        <v>6.3192429888790924E-2</v>
      </c>
    </row>
    <row r="45" spans="2:5" x14ac:dyDescent="0.3">
      <c r="B45" s="23">
        <v>4</v>
      </c>
      <c r="C45" s="23">
        <v>2019</v>
      </c>
      <c r="D45" s="23">
        <v>17069.38</v>
      </c>
      <c r="E45" s="28">
        <v>0.125258251863962</v>
      </c>
    </row>
    <row r="46" spans="2:5" x14ac:dyDescent="0.3">
      <c r="B46" s="23">
        <v>5</v>
      </c>
      <c r="C46" s="23">
        <v>2020</v>
      </c>
      <c r="D46" s="23">
        <v>17617.25</v>
      </c>
      <c r="E46" s="28">
        <v>3.2096654945873881E-2</v>
      </c>
    </row>
    <row r="47" spans="2:5" x14ac:dyDescent="0.3">
      <c r="B47" s="23">
        <v>6</v>
      </c>
      <c r="C47" s="23">
        <v>2021</v>
      </c>
      <c r="D47" s="23">
        <v>15361.22</v>
      </c>
      <c r="E47" s="28">
        <v>-0.12805801132412842</v>
      </c>
    </row>
    <row r="48" spans="2:5" x14ac:dyDescent="0.3">
      <c r="B48" s="23">
        <v>7</v>
      </c>
      <c r="C48" s="23">
        <v>2022</v>
      </c>
      <c r="D48" s="23">
        <v>18830.749999999993</v>
      </c>
      <c r="E48" s="28">
        <v>0.22586291974205142</v>
      </c>
    </row>
    <row r="49" spans="2:5" x14ac:dyDescent="0.3">
      <c r="B49" s="23">
        <v>8</v>
      </c>
      <c r="C49" s="23">
        <v>2023</v>
      </c>
      <c r="D49" s="23">
        <v>23817.479999999996</v>
      </c>
      <c r="E49" s="28">
        <v>0.26481844854825254</v>
      </c>
    </row>
    <row r="50" spans="2:5" x14ac:dyDescent="0.3">
      <c r="B50" s="23">
        <v>9</v>
      </c>
      <c r="C50" s="23">
        <v>2024</v>
      </c>
      <c r="D50" s="23">
        <v>23630.37</v>
      </c>
      <c r="E50" s="28">
        <v>-7.8559948407639357E-3</v>
      </c>
    </row>
    <row r="51" spans="2:5" x14ac:dyDescent="0.3">
      <c r="B51" s="23">
        <v>10</v>
      </c>
      <c r="C51" s="23">
        <v>2025</v>
      </c>
      <c r="D51" s="23">
        <v>24148.069999999996</v>
      </c>
      <c r="E51" s="28">
        <v>2.1908247733742447E-2</v>
      </c>
    </row>
    <row r="52" spans="2:5" x14ac:dyDescent="0.3">
      <c r="B52" s="23">
        <v>11</v>
      </c>
      <c r="C52" s="23">
        <v>2026</v>
      </c>
      <c r="D52" s="23">
        <f>FORECAST(B52,_xlfn.ANCHORARRAY($D$42),$B$42:$B$51)</f>
        <v>25287.304666666656</v>
      </c>
      <c r="E52" s="28">
        <f>D52/D51-1</f>
        <v>4.7177048379711595E-2</v>
      </c>
    </row>
    <row r="53" spans="2:5" x14ac:dyDescent="0.3">
      <c r="B53" s="23">
        <v>12</v>
      </c>
      <c r="C53" s="23">
        <v>2027</v>
      </c>
      <c r="D53" s="23">
        <f t="shared" ref="D53:D56" si="4">FORECAST(B53,_xlfn.ANCHORARRAY($D$42),$B$42:$B$51)</f>
        <v>26552.496969696957</v>
      </c>
      <c r="E53" s="28">
        <f t="shared" ref="E53:E56" si="5">D53/D52-1</f>
        <v>5.003270691391859E-2</v>
      </c>
    </row>
    <row r="54" spans="2:5" x14ac:dyDescent="0.3">
      <c r="B54" s="23">
        <v>13</v>
      </c>
      <c r="C54" s="23">
        <v>2028</v>
      </c>
      <c r="D54" s="23">
        <f t="shared" si="4"/>
        <v>27817.689272727264</v>
      </c>
      <c r="E54" s="28">
        <f t="shared" si="5"/>
        <v>4.7648712830066664E-2</v>
      </c>
    </row>
    <row r="55" spans="2:5" x14ac:dyDescent="0.3">
      <c r="B55" s="23">
        <v>14</v>
      </c>
      <c r="C55" s="23">
        <v>2029</v>
      </c>
      <c r="D55" s="23">
        <f t="shared" si="4"/>
        <v>29082.881575757565</v>
      </c>
      <c r="E55" s="28">
        <f t="shared" si="5"/>
        <v>4.5481574354585552E-2</v>
      </c>
    </row>
    <row r="56" spans="2:5" x14ac:dyDescent="0.3">
      <c r="B56" s="23">
        <v>15</v>
      </c>
      <c r="C56" s="23">
        <v>2030</v>
      </c>
      <c r="D56" s="23">
        <f t="shared" si="4"/>
        <v>30348.073878787865</v>
      </c>
      <c r="E56" s="28">
        <f t="shared" si="5"/>
        <v>4.3502989885463084E-2</v>
      </c>
    </row>
    <row r="58" spans="2:5" x14ac:dyDescent="0.3">
      <c r="B58" s="49" t="str">
        <f>"EPS Forecasting - "&amp;'Data Sheet'!B1</f>
        <v>EPS Forecasting - ITC LTD</v>
      </c>
      <c r="C58" s="49"/>
      <c r="D58" s="49"/>
      <c r="E58" s="49"/>
    </row>
    <row r="59" spans="2:5" x14ac:dyDescent="0.3">
      <c r="B59" s="22" t="s">
        <v>117</v>
      </c>
      <c r="C59" s="22" t="s">
        <v>82</v>
      </c>
      <c r="D59" s="22" t="s">
        <v>118</v>
      </c>
      <c r="E59" s="22" t="s">
        <v>72</v>
      </c>
    </row>
    <row r="60" spans="2:5" x14ac:dyDescent="0.3">
      <c r="B60" s="23" cm="1">
        <f t="array" ref="B60:B74">_xlfn.SEQUENCE(15)</f>
        <v>1</v>
      </c>
      <c r="C60" s="23">
        <v>2016</v>
      </c>
      <c r="D60" s="23" cm="1">
        <f t="array" ref="D60:D69">TRANSPOSE('Historical Financial Statement'!D38:M38)</f>
        <v>6.6422689465486959</v>
      </c>
      <c r="E60" s="28" t="str" cm="1">
        <f t="array" ref="E60:E69">TRANSPOSE('Historical Financial Statement'!D39:M39)</f>
        <v>NA</v>
      </c>
    </row>
    <row r="61" spans="2:5" x14ac:dyDescent="0.3">
      <c r="B61" s="23">
        <v>2</v>
      </c>
      <c r="C61" s="23">
        <v>2017</v>
      </c>
      <c r="D61" s="23">
        <v>7.1773383604722003</v>
      </c>
      <c r="E61" s="28">
        <v>8.0555216632943516E-2</v>
      </c>
    </row>
    <row r="62" spans="2:5" x14ac:dyDescent="0.3">
      <c r="B62" s="23">
        <v>3</v>
      </c>
      <c r="C62" s="23">
        <v>2018</v>
      </c>
      <c r="D62" s="23">
        <v>7.5816474521275303</v>
      </c>
      <c r="E62" s="28">
        <v>5.633134058190481E-2</v>
      </c>
    </row>
    <row r="63" spans="2:5" x14ac:dyDescent="0.3">
      <c r="B63" s="23">
        <v>4</v>
      </c>
      <c r="C63" s="23">
        <v>2019</v>
      </c>
      <c r="D63" s="23">
        <v>8.7738077757655866</v>
      </c>
      <c r="E63" s="28">
        <v>0.15724291206702268</v>
      </c>
    </row>
    <row r="64" spans="2:5" x14ac:dyDescent="0.3">
      <c r="B64" s="23">
        <v>5</v>
      </c>
      <c r="C64" s="23">
        <v>2020</v>
      </c>
      <c r="D64" s="23">
        <v>10.718553228876848</v>
      </c>
      <c r="E64" s="28">
        <v>0.22165352864042731</v>
      </c>
    </row>
    <row r="65" spans="2:5" x14ac:dyDescent="0.3">
      <c r="B65" s="23">
        <v>6</v>
      </c>
      <c r="C65" s="23">
        <v>2021</v>
      </c>
      <c r="D65" s="23">
        <v>8.7790280124788769</v>
      </c>
      <c r="E65" s="28">
        <v>-0.18095028078721465</v>
      </c>
    </row>
    <row r="66" spans="2:5" x14ac:dyDescent="0.3">
      <c r="B66" s="23">
        <v>7</v>
      </c>
      <c r="C66" s="23">
        <v>2022</v>
      </c>
      <c r="D66" s="23">
        <v>11.030657372619341</v>
      </c>
      <c r="E66" s="28">
        <v>0.25647820657821163</v>
      </c>
    </row>
    <row r="67" spans="2:5" x14ac:dyDescent="0.3">
      <c r="B67" s="23">
        <v>8</v>
      </c>
      <c r="C67" s="23">
        <v>2023</v>
      </c>
      <c r="D67" s="23">
        <v>13.983810749919533</v>
      </c>
      <c r="E67" s="28">
        <v>0.26772233762156428</v>
      </c>
    </row>
    <row r="68" spans="2:5" x14ac:dyDescent="0.3">
      <c r="B68" s="23">
        <v>9</v>
      </c>
      <c r="C68" s="23">
        <v>2024</v>
      </c>
      <c r="D68" s="23">
        <v>13.953807460331445</v>
      </c>
      <c r="E68" s="28">
        <v>-2.1455732006571138E-3</v>
      </c>
    </row>
    <row r="69" spans="2:5" x14ac:dyDescent="0.3">
      <c r="B69" s="23">
        <v>10</v>
      </c>
      <c r="C69" s="23">
        <v>2025</v>
      </c>
      <c r="D69" s="23">
        <v>13.790524288602452</v>
      </c>
      <c r="E69" s="28">
        <v>-1.1701693046373363E-2</v>
      </c>
    </row>
    <row r="70" spans="2:5" x14ac:dyDescent="0.3">
      <c r="B70" s="23">
        <v>11</v>
      </c>
      <c r="C70" s="23">
        <v>2026</v>
      </c>
      <c r="D70" s="23">
        <f>FORECAST(B70,_xlfn.ANCHORARRAY($D$60),$B$60:$B$69)</f>
        <v>15.196858426128312</v>
      </c>
      <c r="E70" s="28">
        <f>D70/D69-1</f>
        <v>0.10197829379758705</v>
      </c>
    </row>
    <row r="71" spans="2:5" x14ac:dyDescent="0.3">
      <c r="B71" s="23">
        <v>12</v>
      </c>
      <c r="C71" s="23">
        <v>2027</v>
      </c>
      <c r="D71" s="23">
        <f t="shared" ref="D71:D74" si="6">FORECAST(B71,_xlfn.ANCHORARRAY($D$60),$B$60:$B$69)</f>
        <v>16.097533710010868</v>
      </c>
      <c r="E71" s="28">
        <f t="shared" ref="E71:E74" si="7">D71/D70-1</f>
        <v>5.9267202380065998E-2</v>
      </c>
    </row>
    <row r="72" spans="2:5" x14ac:dyDescent="0.3">
      <c r="B72" s="23">
        <v>13</v>
      </c>
      <c r="C72" s="23">
        <v>2028</v>
      </c>
      <c r="D72" s="23">
        <f t="shared" si="6"/>
        <v>16.998208993893424</v>
      </c>
      <c r="E72" s="28">
        <f t="shared" si="7"/>
        <v>5.5951135130870133E-2</v>
      </c>
    </row>
    <row r="73" spans="2:5" x14ac:dyDescent="0.3">
      <c r="B73" s="23">
        <v>14</v>
      </c>
      <c r="C73" s="23">
        <v>2029</v>
      </c>
      <c r="D73" s="23">
        <f t="shared" si="6"/>
        <v>17.898884277775984</v>
      </c>
      <c r="E73" s="28">
        <f t="shared" si="7"/>
        <v>5.2986481352601755E-2</v>
      </c>
    </row>
    <row r="74" spans="2:5" x14ac:dyDescent="0.3">
      <c r="B74" s="23">
        <v>15</v>
      </c>
      <c r="C74" s="23">
        <v>2030</v>
      </c>
      <c r="D74" s="23">
        <f t="shared" si="6"/>
        <v>18.79955956165854</v>
      </c>
      <c r="E74" s="28">
        <f t="shared" si="7"/>
        <v>5.0320191465837549E-2</v>
      </c>
    </row>
  </sheetData>
  <mergeCells count="5">
    <mergeCell ref="B2:J2"/>
    <mergeCell ref="B4:E4"/>
    <mergeCell ref="B22:E22"/>
    <mergeCell ref="B40:E40"/>
    <mergeCell ref="B58:E5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554FC-64B3-4705-82C8-F20E1067586D}">
  <dimension ref="B2:K40"/>
  <sheetViews>
    <sheetView showGridLines="0" tabSelected="1" zoomScale="167" workbookViewId="0">
      <selection activeCell="C8" sqref="C8"/>
    </sheetView>
  </sheetViews>
  <sheetFormatPr defaultRowHeight="14.4" x14ac:dyDescent="0.3"/>
  <cols>
    <col min="2" max="2" width="13.5546875" customWidth="1"/>
  </cols>
  <sheetData>
    <row r="2" spans="2:11" ht="33.6" x14ac:dyDescent="0.65">
      <c r="B2" s="30" t="str">
        <f>'Data Sheet'!B1</f>
        <v>ITC LTD</v>
      </c>
      <c r="I2" s="43"/>
      <c r="J2" s="43"/>
      <c r="K2" s="43"/>
    </row>
    <row r="3" spans="2:11" x14ac:dyDescent="0.3">
      <c r="B3" s="44" t="s">
        <v>119</v>
      </c>
      <c r="C3" s="44"/>
      <c r="D3" s="44"/>
      <c r="E3" s="44"/>
      <c r="F3" s="44"/>
      <c r="G3" s="44"/>
      <c r="H3" s="44"/>
      <c r="I3" s="43"/>
      <c r="J3" s="43"/>
      <c r="K3" s="43"/>
    </row>
    <row r="5" spans="2:11" x14ac:dyDescent="0.3">
      <c r="B5" t="e" vm="1">
        <v>#VALUE!</v>
      </c>
    </row>
    <row r="6" spans="2:11" x14ac:dyDescent="0.3">
      <c r="B6" t="s">
        <v>120</v>
      </c>
      <c r="C6" s="31" cm="1">
        <f t="array" aca="1" ref="C6" ca="1">_FV(B5,"52 week high",TRUE)</f>
        <v>471.5</v>
      </c>
    </row>
    <row r="7" spans="2:11" x14ac:dyDescent="0.3">
      <c r="B7" t="s">
        <v>121</v>
      </c>
      <c r="C7" s="31" cm="1">
        <f t="array" aca="1" ref="C7" ca="1">_FV(B5,"52 week low",TRUE)</f>
        <v>390.15</v>
      </c>
    </row>
    <row r="8" spans="2:11" x14ac:dyDescent="0.3">
      <c r="B8" t="s">
        <v>122</v>
      </c>
      <c r="C8" s="31" cm="1">
        <f t="array" aca="1" ref="C8" ca="1">_FV(B5,"Price")</f>
        <v>400.8</v>
      </c>
    </row>
    <row r="9" spans="2:11" x14ac:dyDescent="0.3">
      <c r="B9" t="s">
        <v>123</v>
      </c>
      <c r="C9" t="s">
        <v>124</v>
      </c>
    </row>
    <row r="11" spans="2:11" x14ac:dyDescent="0.3">
      <c r="B11" s="44" t="s">
        <v>125</v>
      </c>
      <c r="C11" s="44"/>
      <c r="D11" s="44"/>
      <c r="E11" s="44"/>
      <c r="F11" s="44"/>
      <c r="G11" s="44"/>
      <c r="H11" s="44"/>
      <c r="I11" s="44"/>
      <c r="J11" s="44"/>
      <c r="K11" s="44"/>
    </row>
    <row r="12" spans="2:11" ht="4.5" customHeight="1" x14ac:dyDescent="0.3">
      <c r="B12" s="43"/>
      <c r="C12" s="43"/>
      <c r="D12" s="43"/>
      <c r="E12" s="43"/>
      <c r="F12" s="43"/>
      <c r="G12" s="43"/>
      <c r="H12" s="43"/>
      <c r="I12" s="43"/>
      <c r="J12" s="43"/>
      <c r="K12" s="43"/>
    </row>
    <row r="13" spans="2:11" x14ac:dyDescent="0.3">
      <c r="B13" s="45" t="s">
        <v>126</v>
      </c>
      <c r="C13" s="46"/>
      <c r="D13" s="46"/>
      <c r="E13" s="46"/>
      <c r="F13" s="46"/>
      <c r="G13" s="46"/>
      <c r="H13" s="46"/>
      <c r="I13" s="46"/>
      <c r="J13" s="46"/>
      <c r="K13" s="46"/>
    </row>
    <row r="14" spans="2:11" x14ac:dyDescent="0.3">
      <c r="B14" s="46"/>
      <c r="C14" s="46"/>
      <c r="D14" s="46"/>
      <c r="E14" s="46"/>
      <c r="F14" s="46"/>
      <c r="G14" s="46"/>
      <c r="H14" s="46"/>
      <c r="I14" s="46"/>
      <c r="J14" s="46"/>
      <c r="K14" s="46"/>
    </row>
    <row r="15" spans="2:11" x14ac:dyDescent="0.3">
      <c r="B15" s="46"/>
      <c r="C15" s="46"/>
      <c r="D15" s="46"/>
      <c r="E15" s="46"/>
      <c r="F15" s="46"/>
      <c r="G15" s="46"/>
      <c r="H15" s="46"/>
      <c r="I15" s="46"/>
      <c r="J15" s="46"/>
      <c r="K15" s="46"/>
    </row>
    <row r="16" spans="2:11" x14ac:dyDescent="0.3">
      <c r="B16" s="46"/>
      <c r="C16" s="46"/>
      <c r="D16" s="46"/>
      <c r="E16" s="46"/>
      <c r="F16" s="46"/>
      <c r="G16" s="46"/>
      <c r="H16" s="46"/>
      <c r="I16" s="46"/>
      <c r="J16" s="46"/>
      <c r="K16" s="46"/>
    </row>
    <row r="17" spans="2:11" x14ac:dyDescent="0.3">
      <c r="B17" s="46"/>
      <c r="C17" s="46"/>
      <c r="D17" s="46"/>
      <c r="E17" s="46"/>
      <c r="F17" s="46"/>
      <c r="G17" s="46"/>
      <c r="H17" s="46"/>
      <c r="I17" s="46"/>
      <c r="J17" s="46"/>
      <c r="K17" s="46"/>
    </row>
    <row r="18" spans="2:11" x14ac:dyDescent="0.3">
      <c r="B18" s="46"/>
      <c r="C18" s="46"/>
      <c r="D18" s="46"/>
      <c r="E18" s="46"/>
      <c r="F18" s="46"/>
      <c r="G18" s="46"/>
      <c r="H18" s="46"/>
      <c r="I18" s="46"/>
      <c r="J18" s="46"/>
      <c r="K18" s="46"/>
    </row>
    <row r="19" spans="2:11" x14ac:dyDescent="0.3">
      <c r="B19" s="46"/>
      <c r="C19" s="46"/>
      <c r="D19" s="46"/>
      <c r="E19" s="46"/>
      <c r="F19" s="46"/>
      <c r="G19" s="46"/>
      <c r="H19" s="46"/>
      <c r="I19" s="46"/>
      <c r="J19" s="46"/>
      <c r="K19" s="46"/>
    </row>
    <row r="20" spans="2:11" x14ac:dyDescent="0.3">
      <c r="B20" s="46"/>
      <c r="C20" s="46"/>
      <c r="D20" s="46"/>
      <c r="E20" s="46"/>
      <c r="F20" s="46"/>
      <c r="G20" s="46"/>
      <c r="H20" s="46"/>
      <c r="I20" s="46"/>
      <c r="J20" s="46"/>
      <c r="K20" s="46"/>
    </row>
    <row r="21" spans="2:11" x14ac:dyDescent="0.3">
      <c r="B21" s="46"/>
      <c r="C21" s="46"/>
      <c r="D21" s="46"/>
      <c r="E21" s="46"/>
      <c r="F21" s="46"/>
      <c r="G21" s="46"/>
      <c r="H21" s="46"/>
      <c r="I21" s="46"/>
      <c r="J21" s="46"/>
      <c r="K21" s="46"/>
    </row>
    <row r="22" spans="2:11" x14ac:dyDescent="0.3">
      <c r="B22" s="46"/>
      <c r="C22" s="46"/>
      <c r="D22" s="46"/>
      <c r="E22" s="46"/>
      <c r="F22" s="46"/>
      <c r="G22" s="46"/>
      <c r="H22" s="46"/>
      <c r="I22" s="46"/>
      <c r="J22" s="46"/>
      <c r="K22" s="46"/>
    </row>
    <row r="23" spans="2:11" x14ac:dyDescent="0.3">
      <c r="B23" s="46"/>
      <c r="C23" s="46"/>
      <c r="D23" s="46"/>
      <c r="E23" s="46"/>
      <c r="F23" s="46"/>
      <c r="G23" s="46"/>
      <c r="H23" s="46"/>
      <c r="I23" s="46"/>
      <c r="J23" s="46"/>
      <c r="K23" s="46"/>
    </row>
    <row r="24" spans="2:11" x14ac:dyDescent="0.3">
      <c r="B24" s="46"/>
      <c r="C24" s="46"/>
      <c r="D24" s="46"/>
      <c r="E24" s="46"/>
      <c r="F24" s="46"/>
      <c r="G24" s="46"/>
      <c r="H24" s="46"/>
      <c r="I24" s="46"/>
      <c r="J24" s="46"/>
      <c r="K24" s="46"/>
    </row>
    <row r="25" spans="2:11" ht="5.25" customHeight="1" x14ac:dyDescent="0.3">
      <c r="B25" s="43"/>
      <c r="C25" s="43"/>
      <c r="D25" s="43"/>
      <c r="E25" s="43"/>
      <c r="F25" s="43"/>
      <c r="G25" s="43"/>
      <c r="H25" s="43"/>
      <c r="I25" s="43"/>
      <c r="J25" s="43"/>
      <c r="K25" s="43"/>
    </row>
    <row r="26" spans="2:11" x14ac:dyDescent="0.3">
      <c r="B26" s="44" t="s">
        <v>127</v>
      </c>
      <c r="C26" s="44"/>
      <c r="D26" s="44"/>
      <c r="E26" s="44"/>
      <c r="F26" s="44"/>
      <c r="G26" s="44"/>
      <c r="H26" s="44"/>
      <c r="I26" s="44"/>
      <c r="J26" s="44"/>
      <c r="K26" s="44"/>
    </row>
    <row r="28" spans="2:11" x14ac:dyDescent="0.3">
      <c r="I28" s="32">
        <f>'Data Sheet'!I16</f>
        <v>45016</v>
      </c>
      <c r="J28" s="32">
        <f>'Data Sheet'!J16</f>
        <v>45382</v>
      </c>
      <c r="K28" s="32">
        <f>'Data Sheet'!K16</f>
        <v>45747</v>
      </c>
    </row>
    <row r="29" spans="2:11" x14ac:dyDescent="0.3">
      <c r="B29" t="s">
        <v>93</v>
      </c>
      <c r="I29" s="15">
        <f>'Ratio Analysis'!K11</f>
        <v>0.45991745797989614</v>
      </c>
      <c r="J29" s="15">
        <f>'Ratio Analysis'!L11</f>
        <v>0.47497465845962877</v>
      </c>
      <c r="K29" s="15">
        <f>'Ratio Analysis'!M11</f>
        <v>0.44945072802135433</v>
      </c>
    </row>
    <row r="30" spans="2:11" x14ac:dyDescent="0.3">
      <c r="B30" t="s">
        <v>94</v>
      </c>
      <c r="I30" s="15">
        <f>'Ratio Analysis'!K12</f>
        <v>0.36244517162741785</v>
      </c>
      <c r="J30" s="15">
        <f>'Ratio Analysis'!L12</f>
        <v>0.37077595605248426</v>
      </c>
      <c r="K30" s="15">
        <f>'Ratio Analysis'!M12</f>
        <v>0.34304705553418102</v>
      </c>
    </row>
    <row r="31" spans="2:11" x14ac:dyDescent="0.3">
      <c r="B31" t="s">
        <v>95</v>
      </c>
      <c r="I31" s="15">
        <f>'Ratio Analysis'!L13</f>
        <v>0.34842932499793172</v>
      </c>
      <c r="J31" s="15">
        <f>'Ratio Analysis'!M13</f>
        <v>0.3211903508261848</v>
      </c>
      <c r="K31" s="15">
        <f>'Ratio Analysis'!N13</f>
        <v>0</v>
      </c>
    </row>
    <row r="32" spans="2:11" x14ac:dyDescent="0.3">
      <c r="B32" t="s">
        <v>97</v>
      </c>
      <c r="I32" s="15">
        <f>'Ratio Analysis'!K15</f>
        <v>0.24505524116728605</v>
      </c>
      <c r="J32" s="15">
        <f>'Ratio Analysis'!L15</f>
        <v>0.25644652574326599</v>
      </c>
      <c r="K32" s="15">
        <f>'Ratio Analysis'!M15</f>
        <v>0.22911357887209988</v>
      </c>
    </row>
    <row r="34" spans="2:11" x14ac:dyDescent="0.3">
      <c r="B34" t="s">
        <v>55</v>
      </c>
      <c r="I34" s="15">
        <f>'Ratio Analysis'!K5</f>
        <v>0.1694215175842706</v>
      </c>
      <c r="J34" s="15">
        <f>'Ratio Analysis'!L5</f>
        <v>-4.2119724423754779E-2</v>
      </c>
      <c r="K34" s="15">
        <f>'Ratio Analysis'!M5</f>
        <v>0.10880596078957838</v>
      </c>
    </row>
    <row r="35" spans="2:11" x14ac:dyDescent="0.3">
      <c r="B35" s="11" t="s">
        <v>128</v>
      </c>
      <c r="I35" s="21">
        <f>'Historical Financial Statement'!K38</f>
        <v>13.983810749919533</v>
      </c>
      <c r="J35" s="21">
        <f>'Historical Financial Statement'!L38</f>
        <v>13.953807460331445</v>
      </c>
      <c r="K35" s="21">
        <f>'Historical Financial Statement'!M38</f>
        <v>13.790524288602452</v>
      </c>
    </row>
    <row r="36" spans="2:11" x14ac:dyDescent="0.3">
      <c r="B36" t="s">
        <v>100</v>
      </c>
      <c r="I36" s="15">
        <f>'Ratio Analysis'!K20</f>
        <v>0.34400810235339674</v>
      </c>
      <c r="J36" s="15">
        <f>'Ratio Analysis'!L20</f>
        <v>0.31639278106007412</v>
      </c>
      <c r="K36" s="15">
        <f>'Ratio Analysis'!M20</f>
        <v>0.3440698438261533</v>
      </c>
    </row>
    <row r="37" spans="2:11" x14ac:dyDescent="0.3">
      <c r="B37" t="s">
        <v>129</v>
      </c>
      <c r="I37" s="15">
        <f>'Ratio Analysis'!K22</f>
        <v>0.25130525140097792</v>
      </c>
      <c r="J37" s="15">
        <f>'Ratio Analysis'!L22</f>
        <v>0.23381574885581222</v>
      </c>
      <c r="K37" s="15">
        <f>'Ratio Analysis'!M22</f>
        <v>0.2464313533975771</v>
      </c>
    </row>
    <row r="38" spans="2:11" x14ac:dyDescent="0.3">
      <c r="B38" t="s">
        <v>91</v>
      </c>
      <c r="I38" s="15">
        <f>'Ratio Analysis'!K8</f>
        <v>0.35927687379161455</v>
      </c>
      <c r="J38" s="15">
        <f>'Ratio Analysis'!L8</f>
        <v>-0.1088561728459152</v>
      </c>
      <c r="K38" s="15">
        <f>'Ratio Analysis'!M8</f>
        <v>4.6093952975744701E-2</v>
      </c>
    </row>
    <row r="40" spans="2:11" x14ac:dyDescent="0.3">
      <c r="B40" s="44" t="s">
        <v>130</v>
      </c>
      <c r="C40" s="44"/>
      <c r="D40" s="44"/>
      <c r="E40" s="44"/>
      <c r="F40" s="44"/>
      <c r="G40" s="44"/>
      <c r="H40" s="44"/>
      <c r="I40" s="44"/>
      <c r="J40" s="44"/>
      <c r="K40" s="44"/>
    </row>
  </sheetData>
  <mergeCells count="8">
    <mergeCell ref="B25:K25"/>
    <mergeCell ref="B26:K26"/>
    <mergeCell ref="B40:K40"/>
    <mergeCell ref="I2:K3"/>
    <mergeCell ref="B3:H3"/>
    <mergeCell ref="B11:K11"/>
    <mergeCell ref="B13:K24"/>
    <mergeCell ref="B12:K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Data Sheet</vt:lpstr>
      <vt:lpstr>Historical Financial Statement</vt:lpstr>
      <vt:lpstr>Common Size Statement</vt:lpstr>
      <vt:lpstr>Ratio Analysis</vt:lpstr>
      <vt:lpstr>Forecasting</vt:lpstr>
      <vt:lpstr>One Page Report</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Shreshta Lolokapuri</cp:lastModifiedBy>
  <cp:lastPrinted>2012-12-06T18:14:13Z</cp:lastPrinted>
  <dcterms:created xsi:type="dcterms:W3CDTF">2012-08-17T09:55:37Z</dcterms:created>
  <dcterms:modified xsi:type="dcterms:W3CDTF">2026-06-12T11:21:04Z</dcterms:modified>
</cp:coreProperties>
</file>